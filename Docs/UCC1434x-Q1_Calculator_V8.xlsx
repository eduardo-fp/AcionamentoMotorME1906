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ual Output" sheetId="1" state="visible" r:id="rId3"/>
    <sheet name="Single Output" sheetId="2" state="visible" r:id="rId4"/>
    <sheet name="Planilha3" sheetId="3" state="visible" r:id="rId5"/>
  </sheets>
  <externalReferences>
    <externalReference r:id="rId6"/>
  </externalReferences>
  <definedNames>
    <definedName function="false" hidden="false" name="BUR" vbProcedure="false">#REF!</definedName>
    <definedName function="false" hidden="false" name="Cboot" vbProcedure="false">'[1]Main Calculation'!$D$148</definedName>
    <definedName function="false" hidden="false" name="CBootD_T" vbProcedure="false">#REF!</definedName>
    <definedName function="false" hidden="false" name="CBULK" vbProcedure="false">#REF!</definedName>
    <definedName function="false" hidden="false" name="CBULK_act" vbProcedure="false">#REF!</definedName>
    <definedName function="false" hidden="false" name="CBULK_rec" vbProcedure="false">#REF!</definedName>
    <definedName function="false" hidden="false" name="CBUR" vbProcedure="false">'[1]Main Calculation'!$D$124</definedName>
    <definedName function="false" hidden="false" name="CBUR_act" vbProcedure="false">'[1]Main Calculation'!$D$123</definedName>
    <definedName function="false" hidden="false" name="CBUR_rec" vbProcedure="false">'[1]Main Calculation'!$D$122</definedName>
    <definedName function="false" hidden="false" name="Cclamp" vbProcedure="false">'[1]Main Calculation'!$D$70</definedName>
    <definedName function="false" hidden="false" name="Cclamp_act" vbProcedure="false">'[1]Main Calculation'!$D$69</definedName>
    <definedName function="false" hidden="false" name="Cclamp_rec" vbProcedure="false">'[1]Main Calculation'!$D$68</definedName>
    <definedName function="false" hidden="false" name="CCS" vbProcedure="false">'[1]Main Calculation'!$D$97</definedName>
    <definedName function="false" hidden="false" name="CCS_act" vbProcedure="false">'[1]Main Calculation'!$D$96</definedName>
    <definedName function="false" hidden="false" name="CCS_rec" vbProcedure="false">'[1]Main Calculation'!$D$95</definedName>
    <definedName function="false" hidden="false" name="CDaux_H" vbProcedure="false">#REF!</definedName>
    <definedName function="false" hidden="false" name="CDaux_T" vbProcedure="false">#REF!</definedName>
    <definedName function="false" hidden="false" name="CDD1_act" vbProcedure="false">'[1]Main Calculation'!$D$163</definedName>
    <definedName function="false" hidden="false" name="CDD1_rec" vbProcedure="false">'[1]Main Calculation'!$D$162</definedName>
    <definedName function="false" hidden="false" name="CDD2_" vbProcedure="false">'[1]Main Calculation'!$D$150</definedName>
    <definedName function="false" hidden="false" name="CDD_1" vbProcedure="false">'[1]Main Calculation'!$D$164</definedName>
    <definedName function="false" hidden="false" name="Cdiff" vbProcedure="false">'[1]Main Calculation'!$D$195</definedName>
    <definedName function="false" hidden="false" name="Cdiff_act" vbProcedure="false">'[1]Main Calculation'!$D$194</definedName>
    <definedName function="false" hidden="false" name="Cdiff_rec" vbProcedure="false">'[1]Main Calculation'!$D$193</definedName>
    <definedName function="false" hidden="false" name="CDz" vbProcedure="false">#REF!</definedName>
    <definedName function="false" hidden="false" name="CFB" vbProcedure="false">'[1]Main Calculation'!$D$170</definedName>
    <definedName function="false" hidden="false" name="CHVG" vbProcedure="false">'[1]Main Calculation'!$D$140</definedName>
    <definedName function="false" hidden="false" name="CHVG_act" vbProcedure="false">'[1]Main Calculation'!$D$139</definedName>
    <definedName function="false" hidden="false" name="CHVG_rec" vbProcedure="false">'[1]Main Calculation'!$D$138</definedName>
    <definedName function="false" hidden="false" name="Cint" vbProcedure="false">'[1]Main Calculation'!$D$202</definedName>
    <definedName function="false" hidden="false" name="Cint_act" vbProcedure="false">'[1]Main Calculation'!$D$201</definedName>
    <definedName function="false" hidden="false" name="Cint_rec" vbProcedure="false">'[1]Main Calculation'!$D$200</definedName>
    <definedName function="false" hidden="false" name="Ciss_Qs" vbProcedure="false">#REF!</definedName>
    <definedName function="false" hidden="false" name="Co1_dec" vbProcedure="false">'[1]Secondary Resonance'!$E$23</definedName>
    <definedName function="false" hidden="false" name="COM_VEE" vbProcedure="false">#REF!</definedName>
    <definedName function="false" hidden="false" name="COSS_QH_bg" vbProcedure="false">#REF!</definedName>
    <definedName function="false" hidden="false" name="COSS_QH_sm" vbProcedure="false">#REF!</definedName>
    <definedName function="false" hidden="false" name="Coss_QH_T" vbProcedure="false">#REF!</definedName>
    <definedName function="false" hidden="false" name="COSS_QL_bg" vbProcedure="false">#REF!</definedName>
    <definedName function="false" hidden="false" name="COSS_QL_sm" vbProcedure="false">#REF!</definedName>
    <definedName function="false" hidden="false" name="COSS_Qs" vbProcedure="false">#REF!</definedName>
    <definedName function="false" hidden="false" name="Coss_SR_bg" vbProcedure="false">#REF!</definedName>
    <definedName function="false" hidden="false" name="COSS_SR_H" vbProcedure="false">#REF!</definedName>
    <definedName function="false" hidden="false" name="Coss_SR_sm" vbProcedure="false">#REF!</definedName>
    <definedName function="false" hidden="false" name="Coss_SR_T" vbProcedure="false">#REF!</definedName>
    <definedName function="false" hidden="false" name="COUT" vbProcedure="false">#REF!</definedName>
    <definedName function="false" hidden="false" name="COUT2" vbProcedure="false">#REF!</definedName>
    <definedName function="false" hidden="false" name="COUT2_MIN" vbProcedure="false">#REF!</definedName>
    <definedName function="false" hidden="false" name="COUT3" vbProcedure="false">#REF!</definedName>
    <definedName function="false" hidden="false" name="COUT3_MIN" vbProcedure="false">'Dual Output'!$C$52</definedName>
    <definedName function="false" hidden="false" name="COUT_act" vbProcedure="false">#REF!</definedName>
    <definedName function="false" hidden="false" name="COUT_rec" vbProcedure="false">#REF!</definedName>
    <definedName function="false" hidden="false" name="Co_1" vbProcedure="false">'[1]Secondary Resonance'!$E$25:$G$25</definedName>
    <definedName function="false" hidden="false" name="CREF" vbProcedure="false">'[1]Main Calculation'!$D$143</definedName>
    <definedName function="false" hidden="false" name="CREF_act" vbProcedure="false">'[1]Main Calculation'!$D$142</definedName>
    <definedName function="false" hidden="false" name="CREF_rec" vbProcedure="false">'[1]Main Calculation'!$D$141</definedName>
    <definedName function="false" hidden="false" name="CSWS" vbProcedure="false">'[1]Main Calculation'!$D$129</definedName>
    <definedName function="false" hidden="false" name="CSWS_act" vbProcedure="false">'[1]Main Calculation'!$D$128</definedName>
    <definedName function="false" hidden="false" name="CSWS_rec" vbProcedure="false">'[1]Main Calculation'!$D$127</definedName>
    <definedName function="false" hidden="false" name="CSW_T_nor" vbProcedure="false">'[1]Main Calculation'!$D$64</definedName>
    <definedName function="false" hidden="false" name="CTr" vbProcedure="false">'[1]Main Calculation'!$D$54</definedName>
    <definedName function="false" hidden="false" name="CTRmax" vbProcedure="false">#REF!</definedName>
    <definedName function="false" hidden="false" name="CTRmin" vbProcedure="false">#REF!</definedName>
    <definedName function="false" hidden="false" name="DBUR" vbProcedure="false">'[1]Hide Calculate'!$D$39</definedName>
    <definedName function="false" hidden="false" name="DBUR_min" vbProcedure="false">'[1]Hide Calculate'!$D$51</definedName>
    <definedName function="false" hidden="false" name="dCOUT2" vbProcedure="false">#REF!</definedName>
    <definedName function="false" hidden="false" name="dCOUT2_NEG" vbProcedure="false">#REF!</definedName>
    <definedName function="false" hidden="false" name="dCOUT2_POS" vbProcedure="false">#REF!</definedName>
    <definedName function="false" hidden="false" name="dCOUT3" vbProcedure="false">#REF!</definedName>
    <definedName function="false" hidden="false" name="dCOUT3_NEG" vbProcedure="false">#REF!</definedName>
    <definedName function="false" hidden="false" name="dCOUT3_POS" vbProcedure="false">#REF!</definedName>
    <definedName function="false" hidden="false" name="Differential_voltage_between_VDD_and_VEE__VDD___VEE" vbProcedure="false">"VDD-VEE"</definedName>
    <definedName function="false" hidden="false" name="Dmin" vbProcedure="false">'[1]Hide Calculate'!$D$67</definedName>
    <definedName function="false" hidden="false" name="DOPP_max" vbProcedure="false">'[1]Hide Calculate'!$D$28</definedName>
    <definedName function="false" hidden="false" name="DOPP_min" vbProcedure="false">'[1]Hide Calculate'!$D$19</definedName>
    <definedName function="false" hidden="false" name="DOPP_run" vbProcedure="false">'[1]Hide Calculate'!$D$12</definedName>
    <definedName function="false" hidden="false" name="DOPP_start" vbProcedure="false">'[1]Hide Calculate'!$D$59</definedName>
    <definedName function="false" hidden="false" name="Drea_CDD1" vbProcedure="false">'[1]Main Calculation'!$D$161</definedName>
    <definedName function="false" hidden="false" name="Drea_clamp" vbProcedure="false">'[1]Main Calculation'!$D$67</definedName>
    <definedName function="false" hidden="false" name="D_max" vbProcedure="false">'[1]Main Calculation'!$D$48</definedName>
    <definedName function="false" hidden="false" name="fBUR_LR" vbProcedure="false">'[1]Main Calculation'!$D$28</definedName>
    <definedName function="false" hidden="false" name="fBUR_standyby" vbProcedure="false">#REF!</definedName>
    <definedName function="false" hidden="false" name="fBUR_UP" vbProcedure="false">'[1]Main Calculation'!$D$29</definedName>
    <definedName function="false" hidden="false" name="Fcr_min" vbProcedure="false">#REF!</definedName>
    <definedName function="false" hidden="false" name="fLINE_min" vbProcedure="false">#REF!</definedName>
    <definedName function="false" hidden="false" name="fp_opto" vbProcedure="false">#REF!</definedName>
    <definedName function="false" hidden="false" name="fsw" vbProcedure="false">#REF!</definedName>
    <definedName function="false" hidden="false" name="fSWmin" vbProcedure="false">#REF!</definedName>
    <definedName function="false" hidden="false" name="fsw_BUR" vbProcedure="false">'[1]Hide Calculate'!$D$38</definedName>
    <definedName function="false" hidden="false" name="fsw_BUR_min" vbProcedure="false">'[1]Hide Calculate'!$D$50</definedName>
    <definedName function="false" hidden="false" name="fsw_min" vbProcedure="false">'[1]Hide Calculate'!$D$65</definedName>
    <definedName function="false" hidden="false" name="fsw_OPP_max" vbProcedure="false">'[1]Hide Calculate'!$D$27</definedName>
    <definedName function="false" hidden="false" name="fsw_OPP_min" vbProcedure="false">'[1]Hide Calculate'!$D$17</definedName>
    <definedName function="false" hidden="false" name="fsw_OPP_run" vbProcedure="false">'[1]Hide Calculate'!$D$9</definedName>
    <definedName function="false" hidden="false" name="fsw_OPP_start" vbProcedure="false">'[1]Hide Calculate'!$D$57</definedName>
    <definedName function="false" hidden="false" name="IDaux_max" vbProcedure="false">#REF!</definedName>
    <definedName function="false" hidden="false" name="ID_SR_max" vbProcedure="false">#REF!</definedName>
    <definedName function="false" hidden="false" name="IEN_VDD" vbProcedure="false">'[1]Main Calculation'!$D$23</definedName>
    <definedName function="false" hidden="false" name="IFB_max" vbProcedure="false">'[1]Main Calculation'!$D$26</definedName>
    <definedName function="false" hidden="false" name="IIN_BUR" vbProcedure="false">'[1]Hide Calculate'!$D$40</definedName>
    <definedName function="false" hidden="false" name="IIN_BUR_min" vbProcedure="false">'[1]Hide Calculate'!$D$52</definedName>
    <definedName function="false" hidden="false" name="IIN_min" vbProcedure="false">'[1]Hide Calculate'!$D$66</definedName>
    <definedName function="false" hidden="false" name="IIN_OPP_max" vbProcedure="false">'[1]Hide Calculate'!$D$29</definedName>
    <definedName function="false" hidden="false" name="IIN_OPP_min" vbProcedure="false">'[1]Hide Calculate'!$D$18</definedName>
    <definedName function="false" hidden="false" name="IIN_OPP_run" vbProcedure="false">'[1]Hide Calculate'!$D$10</definedName>
    <definedName function="false" hidden="false" name="IIN_OPP_start" vbProcedure="false">'[1]Hide Calculate'!$D$58</definedName>
    <definedName function="false" hidden="false" name="IKA_min" vbProcedure="false">#REF!</definedName>
    <definedName function="false" hidden="false" name="ILIM_DN" vbProcedure="false">#REF!</definedName>
    <definedName function="false" hidden="false" name="ILIM_MAX" vbProcedure="false">#REF!</definedName>
    <definedName function="false" hidden="false" name="ILIM_UP" vbProcedure="false">#REF!</definedName>
    <definedName function="false" hidden="false" name="ILIM_UP_TOT" vbProcedure="false">#REF!</definedName>
    <definedName function="false" hidden="false" name="IM_nega_BUR" vbProcedure="false">'[1]Hide Calculate'!$D$37</definedName>
    <definedName function="false" hidden="false" name="IM_nega_BUR_min" vbProcedure="false">'[1]Hide Calculate'!$D$49</definedName>
    <definedName function="false" hidden="false" name="IM_nega_max" vbProcedure="false">'[1]Hide Calculate'!$D$26</definedName>
    <definedName function="false" hidden="false" name="IM_nega_min" vbProcedure="false">'[1]Hide Calculate'!$D$64</definedName>
    <definedName function="false" hidden="false" name="IM_nega_OPP_min" vbProcedure="false">'[1]Hide Calculate'!$D$16</definedName>
    <definedName function="false" hidden="false" name="IM_nega_run" vbProcedure="false">'[1]Hide Calculate'!$D$11</definedName>
    <definedName function="false" hidden="false" name="IM_nega_start" vbProcedure="false">'[1]Hide Calculate'!$D$56</definedName>
    <definedName function="false" hidden="false" name="IOUT" vbProcedure="false">#REF!</definedName>
    <definedName function="false" hidden="false" name="ipk_BUR" vbProcedure="false">'[1]Hide Calculate'!$D$36</definedName>
    <definedName function="false" hidden="false" name="ipk_BUR_min" vbProcedure="false">'[1]Hide Calculate'!$D$48</definedName>
    <definedName function="false" hidden="false" name="ipk_min" vbProcedure="false">'[1]Hide Calculate'!$D$63</definedName>
    <definedName function="false" hidden="false" name="ipk_OPP_max" vbProcedure="false">'[1]Hide Calculate'!$D$25</definedName>
    <definedName function="false" hidden="false" name="ipk_OPP_min" vbProcedure="false">'[1]Hide Calculate'!$D$15</definedName>
    <definedName function="false" hidden="false" name="IQ" vbProcedure="false">'Single Output'!$C$17</definedName>
    <definedName function="false" hidden="false" name="IQH_max" vbProcedure="false">#REF!</definedName>
    <definedName function="false" hidden="false" name="IQL_max" vbProcedure="false">#REF!</definedName>
    <definedName function="false" hidden="false" name="iQL_RMS" vbProcedure="false">'[1]Main Calculation'!$D$88</definedName>
    <definedName function="false" hidden="false" name="IQ_DRIVER" vbProcedure="false">'single output'!#ref!</definedName>
    <definedName function="false" hidden="false" name="IQ_DRIVER_VDD" vbProcedure="false">#REF!</definedName>
    <definedName function="false" hidden="false" name="IQ_DRIVER_VDDS" vbProcedure="false">'Single Output'!$C$16</definedName>
    <definedName function="false" hidden="false" name="IQ_DRIVER_VEE" vbProcedure="false">#REF!</definedName>
    <definedName function="false" hidden="false" name="IQ_OTHER_VDD" vbProcedure="false">'Dual Output'!$C$19</definedName>
    <definedName function="false" hidden="false" name="IQ_OTHER_VDDS" vbProcedure="false">'Single Output'!$C$17</definedName>
    <definedName function="false" hidden="false" name="IQ_OTHER_VEE" vbProcedure="false">'Dual Output'!$C$20</definedName>
    <definedName function="false" hidden="false" name="Iref_431" vbProcedure="false">#REF!</definedName>
    <definedName function="false" hidden="false" name="Iref_431_max" vbProcedure="false">#REF!</definedName>
    <definedName function="false" hidden="false" name="IRLIM_CAP" vbProcedure="false">#REF!</definedName>
    <definedName function="false" hidden="false" name="IRUN_VDD" vbProcedure="false">'[1]Main Calculation'!$D$19</definedName>
    <definedName function="false" hidden="false" name="Istart_HVG" vbProcedure="false">'[1]Main Calculation'!$D$22</definedName>
    <definedName function="false" hidden="false" name="IVCC_qcc" vbProcedure="false">#REF!</definedName>
    <definedName function="false" hidden="false" name="IVCC_sw" vbProcedure="false">'[1]Hide Calculate'!$D$60</definedName>
    <definedName function="false" hidden="false" name="iVSL_BUR" vbProcedure="false">'[1]Hide Calculate'!$D$41</definedName>
    <definedName function="false" hidden="false" name="iVSL_max" vbProcedure="false">'[1]Hide Calculate'!$D$31</definedName>
    <definedName function="false" hidden="false" name="IVSL_run" vbProcedure="false">'[1]Main Calculation'!$D$7</definedName>
    <definedName function="false" hidden="false" name="Iwait_VDD" vbProcedure="false">'[1]Main Calculation'!$D$20</definedName>
    <definedName function="false" hidden="false" name="I_COM_VEE" vbProcedure="false">'Dual Output'!$C$22</definedName>
    <definedName function="false" hidden="false" name="I_MAX_POWER" vbProcedure="false">'Dual Output'!$C$40</definedName>
    <definedName function="false" hidden="false" name="I_STEP" vbProcedure="false">'Single Output'!$C$19</definedName>
    <definedName function="false" hidden="false" name="I_TOTAL_VDDS" vbProcedure="false">'Single Output'!$C$18</definedName>
    <definedName function="false" hidden="false" name="I_VDD_COM" vbProcedure="false">'Dual Output'!$C$21</definedName>
    <definedName function="false" hidden="false" name="KBUR_CST" vbProcedure="false">'[1]Main Calculation'!$D$17</definedName>
    <definedName function="false" hidden="false" name="KCTR_Temp" vbProcedure="false">#REF!</definedName>
    <definedName function="false" hidden="false" name="Kder" vbProcedure="false">#REF!</definedName>
    <definedName function="false" hidden="false" name="Kder_SR" vbProcedure="false">#REF!</definedName>
    <definedName function="false" hidden="false" name="KDM" vbProcedure="false">'[1]Main Calculation'!$D$16</definedName>
    <definedName function="false" hidden="false" name="KLC" vbProcedure="false">'[1]Main Calculation'!$D$15</definedName>
    <definedName function="false" hidden="false" name="KRES" vbProcedure="false">'[1]Main Calculation'!$D$32</definedName>
    <definedName function="false" hidden="false" name="KTZ" vbProcedure="false">#REF!</definedName>
    <definedName function="false" hidden="false" name="KVC" vbProcedure="false">'[1]Hide Calculate'!$D$68</definedName>
    <definedName function="false" hidden="false" name="kZmax" vbProcedure="false">'[1]hide calculate'!#ref!</definedName>
    <definedName function="false" hidden="false" name="LK_actual" vbProcedure="false">'[1]Main Calculation'!$D$52</definedName>
    <definedName function="false" hidden="false" name="LM" vbProcedure="false">'[1]Main Calculation'!$D$51</definedName>
    <definedName function="false" hidden="false" name="LM_actual" vbProcedure="false">'[1]Main Calculation'!$D$50</definedName>
    <definedName function="false" hidden="false" name="LM_recommended" vbProcedure="false">'[1]Main Calculation'!$D$49</definedName>
    <definedName function="false" hidden="false" name="Lo" vbProcedure="false">'[1]Secondary Resonance'!$E$28</definedName>
    <definedName function="false" hidden="false" name="LQs" vbProcedure="false">#REF!</definedName>
    <definedName function="false" hidden="false" name="NA" vbProcedure="false">'[1]Main Calculation'!$D$46</definedName>
    <definedName function="false" hidden="false" name="Na1_" vbProcedure="false">'[1]Burst Mode for USB-PD'!$B$5</definedName>
    <definedName function="false" hidden="false" name="Na2_" vbProcedure="false">'[1]Burst Mode for USB-PD'!$B$6</definedName>
    <definedName function="false" hidden="false" name="NA_act" vbProcedure="false">'[1]main calculation'!#ref!</definedName>
    <definedName function="false" hidden="false" name="NP" vbProcedure="false">'[1]Main Calculation'!$D$41</definedName>
    <definedName function="false" hidden="false" name="NPS" vbProcedure="false">'[1]Main Calculation'!$D$40</definedName>
    <definedName function="false" hidden="false" name="NPS_actual" vbProcedure="false">'[1]main calculation'!#ref!</definedName>
    <definedName function="false" hidden="false" name="NPS_recommended" vbProcedure="false">'[1]main calculation'!#ref!</definedName>
    <definedName function="false" hidden="false" name="NS" vbProcedure="false">'[1]Main Calculation'!$D$42</definedName>
    <definedName function="false" hidden="false" name="NSS" vbProcedure="false">'[1]Main Calculation'!$D$43</definedName>
    <definedName function="false" hidden="false" name="NS_" vbProcedure="false">'[1]Burst Mode for USB-PD'!$B$7</definedName>
    <definedName function="false" hidden="false" name="OPP" vbProcedure="false">#REF!</definedName>
    <definedName function="false" hidden="false" name="OVP" vbProcedure="false">#REF!</definedName>
    <definedName function="false" hidden="false" name="PERCENT_VPP_MAX" vbProcedure="false">'Dual Output'!$C$25</definedName>
    <definedName function="false" hidden="false" name="Po" vbProcedure="false">#REF!</definedName>
    <definedName function="false" hidden="false" name="PO_FL" vbProcedure="false">#REF!</definedName>
    <definedName function="false" hidden="false" name="PRcs" vbProcedure="false">'[1]Main Calculation'!$D$89</definedName>
    <definedName function="false" hidden="false" name="PRLIM" vbProcedure="false">#REF!</definedName>
    <definedName function="false" hidden="false" name="P_MAX" vbProcedure="false">'Dual Output'!$C$39</definedName>
    <definedName function="false" hidden="false" name="Qgtot" vbProcedure="false">#REF!</definedName>
    <definedName function="false" hidden="false" name="Qg_Qh" vbProcedure="false">'[1]Hide Calculate'!$D$47</definedName>
    <definedName function="false" hidden="false" name="Rbias1" vbProcedure="false">'[1]Main Calculation'!$D$179</definedName>
    <definedName function="false" hidden="false" name="Rbias1_max_ABM" vbProcedure="false">'[1]Main Calculation'!$D$176</definedName>
    <definedName function="false" hidden="false" name="Rbias1_max_SBP" vbProcedure="false">'[1]Main Calculation'!$D$175</definedName>
    <definedName function="false" hidden="false" name="Rbias2" vbProcedure="false">'[1]Main Calculation'!$D$174</definedName>
    <definedName function="false" hidden="false" name="Rbias2_act" vbProcedure="false">'[1]Main Calculation'!$D$173</definedName>
    <definedName function="false" hidden="false" name="Rbias2_rec" vbProcedure="false">'[1]Main Calculation'!$D$172</definedName>
    <definedName function="false" hidden="false" name="RBLEED" vbProcedure="false">'[1]Main Calculation'!$D$73</definedName>
    <definedName function="false" hidden="false" name="RBLEED_act" vbProcedure="false">'[1]Main Calculation'!$D$72</definedName>
    <definedName function="false" hidden="false" name="RBLEED_rec" vbProcedure="false">'[1]main calculation'!#ref!</definedName>
    <definedName function="false" hidden="false" name="RBLEED_recc" vbProcedure="false">'[1]Main Calculation'!$D$71</definedName>
    <definedName function="false" hidden="false" name="RBUR1" vbProcedure="false">'[1]Main Calculation'!$D$118</definedName>
    <definedName function="false" hidden="false" name="RBUR1_act" vbProcedure="false">'[1]Main Calculation'!$D$117</definedName>
    <definedName function="false" hidden="false" name="RBUR1_rec" vbProcedure="false">'[1]Main Calculation'!$D$116</definedName>
    <definedName function="false" hidden="false" name="RBUR2" vbProcedure="false">'[1]Main Calculation'!$D$115</definedName>
    <definedName function="false" hidden="false" name="RBUR2_act" vbProcedure="false">'[1]Main Calculation'!$D$114</definedName>
    <definedName function="false" hidden="false" name="RBUR2_rec" vbProcedure="false">'[1]Main Calculation'!$D$113</definedName>
    <definedName function="false" hidden="false" name="RCO" vbProcedure="false">#REF!</definedName>
    <definedName function="false" hidden="false" name="RCOMP" vbProcedure="false">'[1]Main Calculation'!$D$171</definedName>
    <definedName function="false" hidden="false" name="RCS" vbProcedure="false">'[1]Main Calculation'!$D$87</definedName>
    <definedName function="false" hidden="false" name="RCS_act" vbProcedure="false">'[1]Main Calculation'!$D$86</definedName>
    <definedName function="false" hidden="false" name="RCS_rec" vbProcedure="false">'[1]Main Calculation'!$D$85</definedName>
    <definedName function="false" hidden="false" name="RDD1_act" vbProcedure="false">'[1]Main Calculation'!$D$157</definedName>
    <definedName function="false" hidden="false" name="RDD1_rec" vbProcedure="false">'[1]Main Calculation'!$D$156</definedName>
    <definedName function="false" hidden="false" name="RDD2_" vbProcedure="false">'[1]Main Calculation'!$D$152</definedName>
    <definedName function="false" hidden="false" name="RDD_1" vbProcedure="false">'[1]Main Calculation'!$D$158</definedName>
    <definedName function="false" hidden="false" name="Rdiff" vbProcedure="false">'[1]Main Calculation'!$D$198</definedName>
    <definedName function="false" hidden="false" name="Rdiff_act" vbProcedure="false">'[1]Main Calculation'!$D$197</definedName>
    <definedName function="false" hidden="false" name="Rdiff_rec" vbProcedure="false">'[1]Main Calculation'!$D$196</definedName>
    <definedName function="false" hidden="false" name="RDM" vbProcedure="false">'[1]Main Calculation'!$D$103</definedName>
    <definedName function="false" hidden="false" name="RDM_act" vbProcedure="false">'[1]Main Calculation'!$D$102</definedName>
    <definedName function="false" hidden="false" name="RDM_rec" vbProcedure="false">'[1]Main Calculation'!$D$101</definedName>
    <definedName function="false" hidden="false" name="RDSon_QH" vbProcedure="false">#REF!</definedName>
    <definedName function="false" hidden="false" name="RDSon_QL" vbProcedure="false">#REF!</definedName>
    <definedName function="false" hidden="false" name="RFB" vbProcedure="false">'[1]Main Calculation'!$D$169</definedName>
    <definedName function="false" hidden="false" name="RFB_act" vbProcedure="false">'[1]Main Calculation'!$D$168</definedName>
    <definedName function="false" hidden="false" name="RFB_int" vbProcedure="false">'[1]Main Calculation'!$D$25</definedName>
    <definedName function="false" hidden="false" name="RFB_max" vbProcedure="false">'[1]Main Calculation'!$D$167</definedName>
    <definedName function="false" hidden="false" name="RHVG" vbProcedure="false">'[1]Main Calculation'!$D$137</definedName>
    <definedName function="false" hidden="false" name="RHVG_act" vbProcedure="false">'[1]Main Calculation'!$D$136</definedName>
    <definedName function="false" hidden="false" name="RHVG_rec" vbProcedure="false">'[1]Main Calculation'!$D$135</definedName>
    <definedName function="false" hidden="false" name="RLIM" vbProcedure="false">#REF!</definedName>
    <definedName function="false" hidden="false" name="RLIM_DN" vbProcedure="false">#REF!</definedName>
    <definedName function="false" hidden="false" name="RLIM_MAX" vbProcedure="false">#REF!</definedName>
    <definedName function="false" hidden="false" name="RLIM_UP" vbProcedure="false">#REF!</definedName>
    <definedName function="false" hidden="false" name="Rpri_dc" vbProcedure="false">'[1]Main Calculation'!$D$55</definedName>
    <definedName function="false" hidden="false" name="RSWS" vbProcedure="false">'[1]Main Calculation'!$D$132</definedName>
    <definedName function="false" hidden="false" name="RSWS_act" vbProcedure="false">'[1]Main Calculation'!$D$131</definedName>
    <definedName function="false" hidden="false" name="RSWS_rec" vbProcedure="false">'[1]Main Calculation'!$D$130</definedName>
    <definedName function="false" hidden="false" name="RTZ" vbProcedure="false">'[1]Main Calculation'!$D$109</definedName>
    <definedName function="false" hidden="false" name="RTZ_act" vbProcedure="false">'[1]Main Calculation'!$D$108</definedName>
    <definedName function="false" hidden="false" name="RTZ_rec" vbProcedure="false">'[1]Main Calculation'!$D$107</definedName>
    <definedName function="false" hidden="false" name="Rvo1_" vbProcedure="false">'[1]Main Calculation'!$D$188</definedName>
    <definedName function="false" hidden="false" name="Rvo1_act" vbProcedure="false">'[1]Main Calculation'!$D$187</definedName>
    <definedName function="false" hidden="false" name="Rvo1_rec" vbProcedure="false">'[1]Main Calculation'!$D$186</definedName>
    <definedName function="false" hidden="false" name="Rvo2_" vbProcedure="false">'[1]Main Calculation'!$D$185</definedName>
    <definedName function="false" hidden="false" name="Rvo2_act" vbProcedure="false">'[1]Main Calculation'!$D$184</definedName>
    <definedName function="false" hidden="false" name="Rvo2_rec" vbProcedure="false">'[1]Main Calculation'!$D$183</definedName>
    <definedName function="false" hidden="false" name="RVS1_act" vbProcedure="false">'[1]Main Calculation'!$D$77</definedName>
    <definedName function="false" hidden="false" name="RVS1_rec" vbProcedure="false">'[1]Main Calculation'!$D$76</definedName>
    <definedName function="false" hidden="false" name="RVS2_act" vbProcedure="false">'[1]Main Calculation'!$D$80</definedName>
    <definedName function="false" hidden="false" name="RVS2_rec" vbProcedure="false">'[1]Main Calculation'!$D$79</definedName>
    <definedName function="false" hidden="false" name="RVS_1" vbProcedure="false">'[1]Main Calculation'!$D$78</definedName>
    <definedName function="false" hidden="false" name="RVS_2" vbProcedure="false">'[1]Main Calculation'!$D$81</definedName>
    <definedName function="false" hidden="false" name="R_2" vbProcedure="false">#REF!</definedName>
    <definedName function="false" hidden="false" name="R_4" vbProcedure="false">#REF!</definedName>
    <definedName function="false" hidden="false" name="R_OPP" vbProcedure="false">'[1]Main Calculation'!$D$94</definedName>
    <definedName function="false" hidden="false" name="SET" vbProcedure="false">#REF!</definedName>
    <definedName function="false" hidden="false" name="SETPIN" vbProcedure="false">#REF!</definedName>
    <definedName function="false" hidden="false" name="STEP_DUTY" vbProcedure="false">'single output'!#ref!</definedName>
    <definedName function="false" hidden="false" name="tD_CS" vbProcedure="false">'[1]Main Calculation'!$D$9</definedName>
    <definedName function="false" hidden="false" name="tD_CST" vbProcedure="false">'[1]Hide Calculate'!$D$22</definedName>
    <definedName function="false" hidden="false" name="TD_CS_filter" vbProcedure="false">'[1]Main Calculation'!$D$84</definedName>
    <definedName function="false" hidden="false" name="TD_HDr" vbProcedure="false">#REF!</definedName>
    <definedName function="false" hidden="false" name="TD_LDr" vbProcedure="false">#REF!</definedName>
    <definedName function="false" hidden="false" name="tD_RUN_PWML" vbProcedure="false">'[1]Main Calculation'!$D$21</definedName>
    <definedName function="false" hidden="false" name="TFDR" vbProcedure="false">'[1]Main Calculation'!$D$30</definedName>
    <definedName function="false" hidden="false" name="THVG" vbProcedure="false">'[1]Main Calculation'!$D$159</definedName>
    <definedName function="false" hidden="false" name="tres" vbProcedure="false">'[1]hide calculate'!#ref!</definedName>
    <definedName function="false" hidden="false" name="Trise_max" vbProcedure="false">'[1]Hide Calculate'!$D$44</definedName>
    <definedName function="false" hidden="false" name="TSS_max" vbProcedure="false">'[1]Main Calculation'!$D$160</definedName>
    <definedName function="false" hidden="false" name="tSW" vbProcedure="false">'[1]hide calculate'!#ref!</definedName>
    <definedName function="false" hidden="false" name="tSWmax" vbProcedure="false">'[1]hide calculate'!#ref!</definedName>
    <definedName function="false" hidden="false" name="tSW_off" vbProcedure="false">'[1]hide calculate'!#ref!</definedName>
    <definedName function="false" hidden="false" name="tSW_on" vbProcedure="false">'[1]hide calculate'!#ref!</definedName>
    <definedName function="false" hidden="false" name="TZ_min" vbProcedure="false">'[1]Main Calculation'!$D$106</definedName>
    <definedName function="false" hidden="false" name="VBULKmin_tgt" vbProcedure="false">#REF!</definedName>
    <definedName function="false" hidden="false" name="Vbur1" vbProcedure="false">'[1]Burst Mode for USB-PD'!$E$9</definedName>
    <definedName function="false" hidden="false" name="Vbur2" vbProcedure="false">'[1]Burst Mode for USB-PD'!$E$10</definedName>
    <definedName function="false" hidden="false" name="VCE_sat_opto" vbProcedure="false">#REF!</definedName>
    <definedName function="false" hidden="false" name="Vcin_rated" vbProcedure="false">#REF!</definedName>
    <definedName function="false" hidden="false" name="Vclamp_max" vbProcedure="false">'[1]Hide Calculate'!$D$5</definedName>
    <definedName function="false" hidden="false" name="Vclamp_max_QH" vbProcedure="false">'[1]Hide Calculate'!$D$4</definedName>
    <definedName function="false" hidden="false" name="Vclamp_max_SR" vbProcedure="false">'[1]Hide Calculate'!$D$3</definedName>
    <definedName function="false" hidden="false" name="VCST_BUR" vbProcedure="false">'[1]Main Calculation'!$D$112</definedName>
    <definedName function="false" hidden="false" name="VCST_max" vbProcedure="false">'[1]Main Calculation'!$D$10</definedName>
    <definedName function="false" hidden="false" name="VCST_OPP1" vbProcedure="false">'[1]Main Calculation'!$D$11</definedName>
    <definedName function="false" hidden="false" name="VCST_OPP4" vbProcedure="false">'[1]Main Calculation'!$D$12</definedName>
    <definedName function="false" hidden="false" name="VDD" vbProcedure="false">'[1]Main Calculation'!$D$155</definedName>
    <definedName function="false" hidden="false" name="VDD_max" vbProcedure="false">'[1]Main Calculation'!$D$5</definedName>
    <definedName function="false" hidden="false" name="VDD_off" vbProcedure="false">'[1]Main Calculation'!$D$3</definedName>
    <definedName function="false" hidden="false" name="VDD_on" vbProcedure="false">'[1]Main Calculation'!$D$4</definedName>
    <definedName function="false" hidden="false" name="VDD_PCT" vbProcedure="false">'[1]Main Calculation'!$D$6</definedName>
    <definedName function="false" hidden="false" name="VDD_VEE" vbProcedure="false">#REF!</definedName>
    <definedName function="false" hidden="false" name="VDS_actual" vbProcedure="false">#REF!</definedName>
    <definedName function="false" hidden="false" name="VDz" vbProcedure="false">#REF!</definedName>
    <definedName function="false" hidden="false" name="VD_LED" vbProcedure="false">#REF!</definedName>
    <definedName function="false" hidden="false" name="VD_LED_off" vbProcedure="false">#REF!</definedName>
    <definedName function="false" hidden="false" name="VFB_max" vbProcedure="false">'[1]Main Calculation'!$D$24</definedName>
    <definedName function="false" hidden="false" name="Vf_BootD" vbProcedure="false">#REF!</definedName>
    <definedName function="false" hidden="false" name="Vf_Daux" vbProcedure="false">#REF!</definedName>
    <definedName function="false" hidden="false" name="Vf_SR" vbProcedure="false">#REF!</definedName>
    <definedName function="false" hidden="false" name="Vgs_Qs" vbProcedure="false">#REF!</definedName>
    <definedName function="false" hidden="false" name="VHVG" vbProcedure="false">'[1]Main Calculation'!$D$18</definedName>
    <definedName function="false" hidden="false" name="Vhys_CS" vbProcedure="false">'[1]Main Calculation'!$D$13</definedName>
    <definedName function="false" hidden="false" name="VINPUT_Brownin" vbProcedure="false">#REF!</definedName>
    <definedName function="false" hidden="false" name="VINPUT_Brownout" vbProcedure="false">#REF!</definedName>
    <definedName function="false" hidden="false" name="VINPUT_BUR" vbProcedure="false">#REF!</definedName>
    <definedName function="false" hidden="false" name="VINPUT_max" vbProcedure="false">#REF!</definedName>
    <definedName function="false" hidden="false" name="VINPUT_nom" vbProcedure="false">#REF!</definedName>
    <definedName function="false" hidden="false" name="VIN_LOW" vbProcedure="false">#REF!</definedName>
    <definedName function="false" hidden="false" name="Vin_type" vbProcedure="false">#REF!</definedName>
    <definedName function="false" hidden="false" name="VLk_pri_max" vbProcedure="false">'[1]Hide Calculate'!$D$33</definedName>
    <definedName function="false" hidden="false" name="Voffset_CS_OPP" vbProcedure="false">'[1]Hide Calculate'!$D$30</definedName>
    <definedName function="false" hidden="false" name="Vomax" vbProcedure="false">'[1]Burst Mode for USB-PD'!$B$9</definedName>
    <definedName function="false" hidden="false" name="Vomin" vbProcedure="false">'[1]Burst Mode for USB-PD'!$B$10</definedName>
    <definedName function="false" hidden="false" name="VOUT" vbProcedure="false">#REF!</definedName>
    <definedName function="false" hidden="false" name="Vo_drop" vbProcedure="false">#REF!</definedName>
    <definedName function="false" hidden="false" name="VPP_MAX" vbProcedure="false">#REF!</definedName>
    <definedName function="false" hidden="false" name="Vref_431" vbProcedure="false">#REF!</definedName>
    <definedName function="false" hidden="false" name="VRfl" vbProcedure="false">'[1]Main Calculation'!$D$47</definedName>
    <definedName function="false" hidden="false" name="VR_pri_max" vbProcedure="false">'[1]Hide Calculate'!$D$32</definedName>
    <definedName function="false" hidden="false" name="VSR_actual" vbProcedure="false">#REF!</definedName>
    <definedName function="false" hidden="false" name="Vs_clamp" vbProcedure="false">'[1]Main Calculation'!$D$14</definedName>
    <definedName function="false" hidden="false" name="Vth_Qs" vbProcedure="false">#REF!</definedName>
    <definedName function="false" hidden="false" name="VVS_OVP" vbProcedure="false">'[1]Main Calculation'!$D$8</definedName>
    <definedName function="false" hidden="false" name="Vxh" vbProcedure="false">#REF!</definedName>
    <definedName function="false" hidden="false" name="Vxl" vbProcedure="false">#REF!</definedName>
    <definedName function="false" hidden="false" name="Vx_SR" vbProcedure="false">#REF!</definedName>
    <definedName function="false" hidden="false" name="_∆VO_ABM" vbProcedure="false">'[1]Main Calculation'!$D$27</definedName>
    <definedName function="false" hidden="false" name="_∆V_MIN" vbProcedure="false">'[1]Main Calculation'!$D$33</definedName>
    <definedName function="false" hidden="false" name="ΔVCLAMP" vbProcedure="false">'[1]Main Calculation'!$D$35</definedName>
    <definedName function="false" hidden="false" name="ΔVSPIKE" vbProcedure="false">'[1]Main Calculation'!$D$34</definedName>
    <definedName function="false" hidden="false" name="η" vbProcedure="false">'[1]Main Calculation'!$D$31</definedName>
    <definedName function="false" hidden="false" name="ηXFMR" vbProcedure="false">'[1]Main Calculation'!$D$53</definedName>
    <definedName function="false" hidden="false" name="η_min" vbProcedure="false">#REF!</definedName>
    <definedName function="false" hidden="false" localSheetId="0" name="BUR" vbProcedure="false">'dual output'!#ref!</definedName>
    <definedName function="false" hidden="false" localSheetId="0" name="CBootD_T" vbProcedure="false">'dual output'!#ref!</definedName>
    <definedName function="false" hidden="false" localSheetId="0" name="CBULK" vbProcedure="false">'dual output'!#ref!</definedName>
    <definedName function="false" hidden="false" localSheetId="0" name="CBULK_act" vbProcedure="false">'dual output'!#ref!</definedName>
    <definedName function="false" hidden="false" localSheetId="0" name="CBULK_rec" vbProcedure="false">'dual output'!#ref!</definedName>
    <definedName function="false" hidden="false" localSheetId="0" name="CDaux_H" vbProcedure="false">'dual output'!#ref!</definedName>
    <definedName function="false" hidden="false" localSheetId="0" name="CDaux_T" vbProcedure="false">'dual output'!#ref!</definedName>
    <definedName function="false" hidden="false" localSheetId="0" name="CDz" vbProcedure="false">'dual output'!#ref!</definedName>
    <definedName function="false" hidden="false" localSheetId="0" name="Ciss_Qs" vbProcedure="false">'dual output'!#ref!</definedName>
    <definedName function="false" hidden="false" localSheetId="0" name="COM_VEE" vbProcedure="false">'Dual Output'!$C$14</definedName>
    <definedName function="false" hidden="false" localSheetId="0" name="COSS_QH_bg" vbProcedure="false">'dual output'!#ref!</definedName>
    <definedName function="false" hidden="false" localSheetId="0" name="COSS_QH_sm" vbProcedure="false">'dual output'!#ref!</definedName>
    <definedName function="false" hidden="false" localSheetId="0" name="Coss_QH_T" vbProcedure="false">'dual output'!#ref!</definedName>
    <definedName function="false" hidden="false" localSheetId="0" name="COSS_QL_bg" vbProcedure="false">'dual output'!#ref!</definedName>
    <definedName function="false" hidden="false" localSheetId="0" name="COSS_QL_sm" vbProcedure="false">'dual output'!#ref!</definedName>
    <definedName function="false" hidden="false" localSheetId="0" name="COSS_Qs" vbProcedure="false">'dual output'!#ref!</definedName>
    <definedName function="false" hidden="false" localSheetId="0" name="Coss_SR_bg" vbProcedure="false">'dual output'!#ref!</definedName>
    <definedName function="false" hidden="false" localSheetId="0" name="COSS_SR_H" vbProcedure="false">'dual output'!#ref!</definedName>
    <definedName function="false" hidden="false" localSheetId="0" name="Coss_SR_sm" vbProcedure="false">'dual output'!#ref!</definedName>
    <definedName function="false" hidden="false" localSheetId="0" name="Coss_SR_T" vbProcedure="false">'dual output'!#ref!</definedName>
    <definedName function="false" hidden="false" localSheetId="0" name="COUT" vbProcedure="false">'dual output'!#ref!</definedName>
    <definedName function="false" hidden="false" localSheetId="0" name="COUT2" vbProcedure="false">'Dual Output'!$C$51</definedName>
    <definedName function="false" hidden="false" localSheetId="0" name="COUT2_MIN" vbProcedure="false">'Dual Output'!$C$50</definedName>
    <definedName function="false" hidden="false" localSheetId="0" name="COUT3" vbProcedure="false">'Dual Output'!$C$53</definedName>
    <definedName function="false" hidden="false" localSheetId="0" name="COUT_act" vbProcedure="false">'dual output'!#ref!</definedName>
    <definedName function="false" hidden="false" localSheetId="0" name="COUT_rec" vbProcedure="false">'dual output'!#ref!</definedName>
    <definedName function="false" hidden="false" localSheetId="0" name="CTRmax" vbProcedure="false">'dual output'!#ref!</definedName>
    <definedName function="false" hidden="false" localSheetId="0" name="CTRmin" vbProcedure="false">'dual output'!#ref!</definedName>
    <definedName function="false" hidden="false" localSheetId="0" name="dCOUT2" vbProcedure="false">'dual output'!#ref!</definedName>
    <definedName function="false" hidden="false" localSheetId="0" name="dCOUT2_NEG" vbProcedure="false">'Dual Output'!$C$27</definedName>
    <definedName function="false" hidden="false" localSheetId="0" name="dCOUT2_POS" vbProcedure="false">'Dual Output'!$C$26</definedName>
    <definedName function="false" hidden="false" localSheetId="0" name="dCOUT3" vbProcedure="false">'dual output'!#ref!</definedName>
    <definedName function="false" hidden="false" localSheetId="0" name="dCOUT3_NEG" vbProcedure="false">'Dual Output'!$C$29</definedName>
    <definedName function="false" hidden="false" localSheetId="0" name="dCOUT3_POS" vbProcedure="false">'Dual Output'!$C$28</definedName>
    <definedName function="false" hidden="false" localSheetId="0" name="fBUR_standyby" vbProcedure="false">'dual output'!#ref!</definedName>
    <definedName function="false" hidden="false" localSheetId="0" name="Fcr_min" vbProcedure="false">'dual output'!#ref!</definedName>
    <definedName function="false" hidden="false" localSheetId="0" name="fLINE_min" vbProcedure="false">'dual output'!#ref!</definedName>
    <definedName function="false" hidden="false" localSheetId="0" name="fp_opto" vbProcedure="false">'dual output'!#ref!</definedName>
    <definedName function="false" hidden="false" localSheetId="0" name="fsw" vbProcedure="false">'Dual Output'!$C$16</definedName>
    <definedName function="false" hidden="false" localSheetId="0" name="fSWmin" vbProcedure="false">'dual output'!#ref!</definedName>
    <definedName function="false" hidden="false" localSheetId="0" name="IDaux_max" vbProcedure="false">'dual output'!#ref!</definedName>
    <definedName function="false" hidden="false" localSheetId="0" name="ID_SR_max" vbProcedure="false">'dual output'!#ref!</definedName>
    <definedName function="false" hidden="false" localSheetId="0" name="IKA_min" vbProcedure="false">'dual output'!#ref!</definedName>
    <definedName function="false" hidden="false" localSheetId="0" name="ILIM_DN" vbProcedure="false">'Dual Output'!$G$33</definedName>
    <definedName function="false" hidden="false" localSheetId="0" name="ILIM_MAX" vbProcedure="false">'Dual Output'!$C$32</definedName>
    <definedName function="false" hidden="false" localSheetId="0" name="ILIM_UP" vbProcedure="false">'Dual Output'!$G$32</definedName>
    <definedName function="false" hidden="false" localSheetId="0" name="ILIM_UP_TOT" vbProcedure="false">'Dual Output'!$G$32</definedName>
    <definedName function="false" hidden="false" localSheetId="0" name="IOUT" vbProcedure="false">'dual output'!#ref!</definedName>
    <definedName function="false" hidden="false" localSheetId="0" name="IQH_max" vbProcedure="false">'dual output'!#ref!</definedName>
    <definedName function="false" hidden="false" localSheetId="0" name="IQL_max" vbProcedure="false">'dual output'!#ref!</definedName>
    <definedName function="false" hidden="false" localSheetId="0" name="IQ_DRIVER_VDD" vbProcedure="false">'Dual Output'!$C$17</definedName>
    <definedName function="false" hidden="false" localSheetId="0" name="IQ_DRIVER_VEE" vbProcedure="false">'Dual Output'!$C$18</definedName>
    <definedName function="false" hidden="false" localSheetId="0" name="Iref_431" vbProcedure="false">'dual output'!#ref!</definedName>
    <definedName function="false" hidden="false" localSheetId="0" name="Iref_431_max" vbProcedure="false">'dual output'!#ref!</definedName>
    <definedName function="false" hidden="false" localSheetId="0" name="IRLIM_CAP" vbProcedure="false">'Dual Output'!$C$30</definedName>
    <definedName function="false" hidden="false" localSheetId="0" name="IVCC_qcc" vbProcedure="false">'dual output'!#ref!</definedName>
    <definedName function="false" hidden="false" localSheetId="0" name="KCTR_Temp" vbProcedure="false">'dual output'!#ref!</definedName>
    <definedName function="false" hidden="false" localSheetId="0" name="Kder" vbProcedure="false">'dual output'!#ref!</definedName>
    <definedName function="false" hidden="false" localSheetId="0" name="Kder_SR" vbProcedure="false">'dual output'!#ref!</definedName>
    <definedName function="false" hidden="false" localSheetId="0" name="KTZ" vbProcedure="false">'dual output'!#ref!</definedName>
    <definedName function="false" hidden="false" localSheetId="0" name="kZmax" vbProcedure="false">'[1]hide calculate'!#ref!</definedName>
    <definedName function="false" hidden="false" localSheetId="0" name="LQs" vbProcedure="false">'dual output'!#ref!</definedName>
    <definedName function="false" hidden="false" localSheetId="0" name="NA_act" vbProcedure="false">'[1]main calculation'!#ref!</definedName>
    <definedName function="false" hidden="false" localSheetId="0" name="NPS_actual" vbProcedure="false">'[1]main calculation'!#ref!</definedName>
    <definedName function="false" hidden="false" localSheetId="0" name="NPS_recommended" vbProcedure="false">'[1]main calculation'!#ref!</definedName>
    <definedName function="false" hidden="false" localSheetId="0" name="OPP" vbProcedure="false">'dual output'!#ref!</definedName>
    <definedName function="false" hidden="false" localSheetId="0" name="OVP" vbProcedure="false">'dual output'!#ref!</definedName>
    <definedName function="false" hidden="false" localSheetId="0" name="Po" vbProcedure="false">'Dual Output'!$C$38</definedName>
    <definedName function="false" hidden="false" localSheetId="0" name="PO_FL" vbProcedure="false">'dual output'!#ref!</definedName>
    <definedName function="false" hidden="false" localSheetId="0" name="PRLIM" vbProcedure="false">'Dual Output'!$C$66</definedName>
    <definedName function="false" hidden="false" localSheetId="0" name="Qgtot" vbProcedure="false">'Dual Output'!$C$15</definedName>
    <definedName function="false" hidden="false" localSheetId="0" name="RBLEED_rec" vbProcedure="false">'[1]main calculation'!#ref!</definedName>
    <definedName function="false" hidden="false" localSheetId="0" name="RCO" vbProcedure="false">'dual output'!#ref!</definedName>
    <definedName function="false" hidden="false" localSheetId="0" name="RDSon_QH" vbProcedure="false">'dual output'!#ref!</definedName>
    <definedName function="false" hidden="false" localSheetId="0" name="RDSon_QL" vbProcedure="false">'dual output'!#ref!</definedName>
    <definedName function="false" hidden="false" localSheetId="0" name="RLIM" vbProcedure="false">'Dual Output'!$C$62</definedName>
    <definedName function="false" hidden="false" localSheetId="0" name="RLIM_DN" vbProcedure="false">'Dual Output'!$G$56</definedName>
    <definedName function="false" hidden="false" localSheetId="0" name="RLIM_MAX" vbProcedure="false">'Dual Output'!$C$55</definedName>
    <definedName function="false" hidden="false" localSheetId="0" name="RLIM_UP" vbProcedure="false">'Dual Output'!$G$55</definedName>
    <definedName function="false" hidden="false" localSheetId="0" name="R_2" vbProcedure="false">'Dual Output'!$C$23</definedName>
    <definedName function="false" hidden="false" localSheetId="0" name="R_4" vbProcedure="false">'Dual Output'!$C$24</definedName>
    <definedName function="false" hidden="false" localSheetId="0" name="SET" vbProcedure="false">'dual output'!#ref!</definedName>
    <definedName function="false" hidden="false" localSheetId="0" name="SETPIN" vbProcedure="false">'dual output'!#ref!</definedName>
    <definedName function="false" hidden="false" localSheetId="0" name="TD_HDr" vbProcedure="false">'dual output'!#ref!</definedName>
    <definedName function="false" hidden="false" localSheetId="0" name="TD_LDr" vbProcedure="false">'dual output'!#ref!</definedName>
    <definedName function="false" hidden="false" localSheetId="0" name="tres" vbProcedure="false">'[1]hide calculate'!#ref!</definedName>
    <definedName function="false" hidden="false" localSheetId="0" name="tSW" vbProcedure="false">'[1]hide calculate'!#ref!</definedName>
    <definedName function="false" hidden="false" localSheetId="0" name="tSWmax" vbProcedure="false">'[1]hide calculate'!#ref!</definedName>
    <definedName function="false" hidden="false" localSheetId="0" name="tSW_off" vbProcedure="false">'[1]hide calculate'!#ref!</definedName>
    <definedName function="false" hidden="false" localSheetId="0" name="tSW_on" vbProcedure="false">'[1]hide calculate'!#ref!</definedName>
    <definedName function="false" hidden="false" localSheetId="0" name="VBULKmin_tgt" vbProcedure="false">'dual output'!#ref!</definedName>
    <definedName function="false" hidden="false" localSheetId="0" name="VCE_sat_opto" vbProcedure="false">'dual output'!#ref!</definedName>
    <definedName function="false" hidden="false" localSheetId="0" name="Vcin_rated" vbProcedure="false">'dual output'!#ref!</definedName>
    <definedName function="false" hidden="false" localSheetId="0" name="VDD_VEE" vbProcedure="false">'Dual Output'!$C$13</definedName>
    <definedName function="false" hidden="false" localSheetId="0" name="VDS_actual" vbProcedure="false">'dual output'!#ref!</definedName>
    <definedName function="false" hidden="false" localSheetId="0" name="VDz" vbProcedure="false">'dual output'!#ref!</definedName>
    <definedName function="false" hidden="false" localSheetId="0" name="VD_LED" vbProcedure="false">'dual output'!#ref!</definedName>
    <definedName function="false" hidden="false" localSheetId="0" name="VD_LED_off" vbProcedure="false">'dual output'!#ref!</definedName>
    <definedName function="false" hidden="false" localSheetId="0" name="Vf_BootD" vbProcedure="false">'dual output'!#ref!</definedName>
    <definedName function="false" hidden="false" localSheetId="0" name="Vf_Daux" vbProcedure="false">'dual output'!#ref!</definedName>
    <definedName function="false" hidden="false" localSheetId="0" name="Vf_SR" vbProcedure="false">'dual output'!#ref!</definedName>
    <definedName function="false" hidden="false" localSheetId="0" name="Vgs_Qs" vbProcedure="false">'dual output'!#ref!</definedName>
    <definedName function="false" hidden="false" localSheetId="0" name="VINPUT_Brownin" vbProcedure="false">'dual output'!#ref!</definedName>
    <definedName function="false" hidden="false" localSheetId="0" name="VINPUT_Brownout" vbProcedure="false">'dual output'!#ref!</definedName>
    <definedName function="false" hidden="false" localSheetId="0" name="VINPUT_BUR" vbProcedure="false">'dual output'!#ref!</definedName>
    <definedName function="false" hidden="false" localSheetId="0" name="VINPUT_max" vbProcedure="false">'dual output'!#ref!</definedName>
    <definedName function="false" hidden="false" localSheetId="0" name="VINPUT_nom" vbProcedure="false">'dual output'!#ref!</definedName>
    <definedName function="false" hidden="false" localSheetId="0" name="VIN_LOW" vbProcedure="false">'dual output'!#ref!</definedName>
    <definedName function="false" hidden="false" localSheetId="0" name="Vin_type" vbProcedure="false">'dual output'!#ref!</definedName>
    <definedName function="false" hidden="false" localSheetId="0" name="VOUT" vbProcedure="false">'dual output'!#ref!</definedName>
    <definedName function="false" hidden="false" localSheetId="0" name="Vo_drop" vbProcedure="false">'dual output'!#ref!</definedName>
    <definedName function="false" hidden="false" localSheetId="0" name="VPP_MAX" vbProcedure="false">'dual output'!#ref!</definedName>
    <definedName function="false" hidden="false" localSheetId="0" name="Vref_431" vbProcedure="false">'dual output'!#ref!</definedName>
    <definedName function="false" hidden="false" localSheetId="0" name="VSR_actual" vbProcedure="false">'dual output'!#ref!</definedName>
    <definedName function="false" hidden="false" localSheetId="0" name="Vth_Qs" vbProcedure="false">'dual output'!#ref!</definedName>
    <definedName function="false" hidden="false" localSheetId="0" name="Vxh" vbProcedure="false">'dual output'!#ref!</definedName>
    <definedName function="false" hidden="false" localSheetId="0" name="Vxl" vbProcedure="false">'dual output'!#ref!</definedName>
    <definedName function="false" hidden="false" localSheetId="0" name="Vx_SR" vbProcedure="false">'dual output'!#ref!</definedName>
    <definedName function="false" hidden="false" localSheetId="0" name="η_min" vbProcedure="false">'dual output'!#ref!</definedName>
    <definedName function="false" hidden="false" localSheetId="1" name="BUR" vbProcedure="false">'single output'!#ref!</definedName>
    <definedName function="false" hidden="false" localSheetId="1" name="CBootD_T" vbProcedure="false">'single output'!#ref!</definedName>
    <definedName function="false" hidden="false" localSheetId="1" name="CBULK" vbProcedure="false">'single output'!#ref!</definedName>
    <definedName function="false" hidden="false" localSheetId="1" name="CBULK_act" vbProcedure="false">'single output'!#ref!</definedName>
    <definedName function="false" hidden="false" localSheetId="1" name="CBULK_rec" vbProcedure="false">'single output'!#ref!</definedName>
    <definedName function="false" hidden="false" localSheetId="1" name="CDaux_H" vbProcedure="false">'single output'!#ref!</definedName>
    <definedName function="false" hidden="false" localSheetId="1" name="CDaux_T" vbProcedure="false">'single output'!#ref!</definedName>
    <definedName function="false" hidden="false" localSheetId="1" name="CDz" vbProcedure="false">'single output'!#ref!</definedName>
    <definedName function="false" hidden="false" localSheetId="1" name="Ciss_Qs" vbProcedure="false">'single output'!#ref!</definedName>
    <definedName function="false" hidden="false" localSheetId="1" name="COM_VEE" vbProcedure="false">'single output'!#ref!</definedName>
    <definedName function="false" hidden="false" localSheetId="1" name="COSS_QH_bg" vbProcedure="false">'single output'!#ref!</definedName>
    <definedName function="false" hidden="false" localSheetId="1" name="COSS_QH_sm" vbProcedure="false">'single output'!#ref!</definedName>
    <definedName function="false" hidden="false" localSheetId="1" name="Coss_QH_T" vbProcedure="false">'single output'!#ref!</definedName>
    <definedName function="false" hidden="false" localSheetId="1" name="COSS_QL_bg" vbProcedure="false">'single output'!#ref!</definedName>
    <definedName function="false" hidden="false" localSheetId="1" name="COSS_QL_sm" vbProcedure="false">'single output'!#ref!</definedName>
    <definedName function="false" hidden="false" localSheetId="1" name="COSS_Qs" vbProcedure="false">'single output'!#ref!</definedName>
    <definedName function="false" hidden="false" localSheetId="1" name="Coss_SR_bg" vbProcedure="false">'single output'!#ref!</definedName>
    <definedName function="false" hidden="false" localSheetId="1" name="COSS_SR_H" vbProcedure="false">'single output'!#ref!</definedName>
    <definedName function="false" hidden="false" localSheetId="1" name="Coss_SR_sm" vbProcedure="false">'single output'!#ref!</definedName>
    <definedName function="false" hidden="false" localSheetId="1" name="Coss_SR_T" vbProcedure="false">'single output'!#ref!</definedName>
    <definedName function="false" hidden="false" localSheetId="1" name="COUT" vbProcedure="false">'single output'!#ref!</definedName>
    <definedName function="false" hidden="false" localSheetId="1" name="COUT_act" vbProcedure="false">'single output'!#ref!</definedName>
    <definedName function="false" hidden="false" localSheetId="1" name="COUT_rec" vbProcedure="false">'single output'!#ref!</definedName>
    <definedName function="false" hidden="false" localSheetId="1" name="CTRmax" vbProcedure="false">'single output'!#ref!</definedName>
    <definedName function="false" hidden="false" localSheetId="1" name="CTRmin" vbProcedure="false">'single output'!#ref!</definedName>
    <definedName function="false" hidden="false" localSheetId="1" name="fBUR_standyby" vbProcedure="false">'single output'!#ref!</definedName>
    <definedName function="false" hidden="false" localSheetId="1" name="Fcr_min" vbProcedure="false">'single output'!#ref!</definedName>
    <definedName function="false" hidden="false" localSheetId="1" name="fLINE_min" vbProcedure="false">'single output'!#ref!</definedName>
    <definedName function="false" hidden="false" localSheetId="1" name="fp_opto" vbProcedure="false">'single output'!#ref!</definedName>
    <definedName function="false" hidden="false" localSheetId="1" name="fsw" vbProcedure="false">'Single Output'!$C$15</definedName>
    <definedName function="false" hidden="false" localSheetId="1" name="fSWmin" vbProcedure="false">'single output'!#ref!</definedName>
    <definedName function="false" hidden="false" localSheetId="1" name="IDaux_max" vbProcedure="false">'single output'!#ref!</definedName>
    <definedName function="false" hidden="false" localSheetId="1" name="ID_SR_max" vbProcedure="false">'single output'!#ref!</definedName>
    <definedName function="false" hidden="false" localSheetId="1" name="IKA_min" vbProcedure="false">'single output'!#ref!</definedName>
    <definedName function="false" hidden="false" localSheetId="1" name="IOUT" vbProcedure="false">'single output'!#ref!</definedName>
    <definedName function="false" hidden="false" localSheetId="1" name="IQH_max" vbProcedure="false">'single output'!#ref!</definedName>
    <definedName function="false" hidden="false" localSheetId="1" name="IQL_max" vbProcedure="false">'single output'!#ref!</definedName>
    <definedName function="false" hidden="false" localSheetId="1" name="IQ_DRIVER_VDD" vbProcedure="false">'single output'!#ref!</definedName>
    <definedName function="false" hidden="false" localSheetId="1" name="IQ_DRIVER_VEE" vbProcedure="false">'single output'!#ref!</definedName>
    <definedName function="false" hidden="false" localSheetId="1" name="Iref_431" vbProcedure="false">'single output'!#ref!</definedName>
    <definedName function="false" hidden="false" localSheetId="1" name="Iref_431_max" vbProcedure="false">'single output'!#ref!</definedName>
    <definedName function="false" hidden="false" localSheetId="1" name="IVCC_qcc" vbProcedure="false">'single output'!#ref!</definedName>
    <definedName function="false" hidden="false" localSheetId="1" name="KCTR_Temp" vbProcedure="false">'single output'!#ref!</definedName>
    <definedName function="false" hidden="false" localSheetId="1" name="Kder" vbProcedure="false">'single output'!#ref!</definedName>
    <definedName function="false" hidden="false" localSheetId="1" name="Kder_SR" vbProcedure="false">'single output'!#ref!</definedName>
    <definedName function="false" hidden="false" localSheetId="1" name="KTZ" vbProcedure="false">'single output'!#ref!</definedName>
    <definedName function="false" hidden="false" localSheetId="1" name="kZmax" vbProcedure="false">'[1]hide calculate'!#ref!</definedName>
    <definedName function="false" hidden="false" localSheetId="1" name="LQs" vbProcedure="false">'single output'!#ref!</definedName>
    <definedName function="false" hidden="false" localSheetId="1" name="NA_act" vbProcedure="false">'[1]main calculation'!#ref!</definedName>
    <definedName function="false" hidden="false" localSheetId="1" name="NPS_actual" vbProcedure="false">'[1]main calculation'!#ref!</definedName>
    <definedName function="false" hidden="false" localSheetId="1" name="NPS_recommended" vbProcedure="false">'[1]main calculation'!#ref!</definedName>
    <definedName function="false" hidden="false" localSheetId="1" name="OPP" vbProcedure="false">'single output'!#ref!</definedName>
    <definedName function="false" hidden="false" localSheetId="1" name="OVP" vbProcedure="false">'single output'!#ref!</definedName>
    <definedName function="false" hidden="false" localSheetId="1" name="PERCENT_VPP_MAX" vbProcedure="false">'Single Output'!$C$23</definedName>
    <definedName function="false" hidden="false" localSheetId="1" name="PO_FL" vbProcedure="false">'single output'!#ref!</definedName>
    <definedName function="false" hidden="false" localSheetId="1" name="Qgtot" vbProcedure="false">'Single Output'!$C$14</definedName>
    <definedName function="false" hidden="false" localSheetId="1" name="RBLEED_rec" vbProcedure="false">'[1]main calculation'!#ref!</definedName>
    <definedName function="false" hidden="false" localSheetId="1" name="RCO" vbProcedure="false">'single output'!#ref!</definedName>
    <definedName function="false" hidden="false" localSheetId="1" name="RDSon_QH" vbProcedure="false">'single output'!#ref!</definedName>
    <definedName function="false" hidden="false" localSheetId="1" name="RDSon_QL" vbProcedure="false">'single output'!#ref!</definedName>
    <definedName function="false" hidden="false" localSheetId="1" name="R_2" vbProcedure="false">'Single Output'!$C$22</definedName>
    <definedName function="false" hidden="false" localSheetId="1" name="R_4" vbProcedure="false">'single output'!#ref!</definedName>
    <definedName function="false" hidden="false" localSheetId="1" name="SET" vbProcedure="false">'single output'!#ref!</definedName>
    <definedName function="false" hidden="false" localSheetId="1" name="SETPIN" vbProcedure="false">'single output'!#ref!</definedName>
    <definedName function="false" hidden="false" localSheetId="1" name="TD_HDr" vbProcedure="false">'single output'!#ref!</definedName>
    <definedName function="false" hidden="false" localSheetId="1" name="TD_LDr" vbProcedure="false">'single output'!#ref!</definedName>
    <definedName function="false" hidden="false" localSheetId="1" name="tres" vbProcedure="false">'[1]hide calculate'!#ref!</definedName>
    <definedName function="false" hidden="false" localSheetId="1" name="tSW" vbProcedure="false">'[1]hide calculate'!#ref!</definedName>
    <definedName function="false" hidden="false" localSheetId="1" name="tSWmax" vbProcedure="false">'[1]hide calculate'!#ref!</definedName>
    <definedName function="false" hidden="false" localSheetId="1" name="tSW_off" vbProcedure="false">'[1]hide calculate'!#ref!</definedName>
    <definedName function="false" hidden="false" localSheetId="1" name="tSW_on" vbProcedure="false">'[1]hide calculate'!#ref!</definedName>
    <definedName function="false" hidden="false" localSheetId="1" name="VBULKmin_tgt" vbProcedure="false">'single output'!#ref!</definedName>
    <definedName function="false" hidden="false" localSheetId="1" name="VCE_sat_opto" vbProcedure="false">'single output'!#ref!</definedName>
    <definedName function="false" hidden="false" localSheetId="1" name="Vcin_rated" vbProcedure="false">'single output'!#ref!</definedName>
    <definedName function="false" hidden="false" localSheetId="1" name="VDD_VEE" vbProcedure="false">'Single Output'!$C$13</definedName>
    <definedName function="false" hidden="false" localSheetId="1" name="VDS_actual" vbProcedure="false">'single output'!#ref!</definedName>
    <definedName function="false" hidden="false" localSheetId="1" name="VDz" vbProcedure="false">'single output'!#ref!</definedName>
    <definedName function="false" hidden="false" localSheetId="1" name="VD_LED" vbProcedure="false">'single output'!#ref!</definedName>
    <definedName function="false" hidden="false" localSheetId="1" name="VD_LED_off" vbProcedure="false">'single output'!#ref!</definedName>
    <definedName function="false" hidden="false" localSheetId="1" name="Vf_BootD" vbProcedure="false">'single output'!#ref!</definedName>
    <definedName function="false" hidden="false" localSheetId="1" name="Vf_Daux" vbProcedure="false">'single output'!#ref!</definedName>
    <definedName function="false" hidden="false" localSheetId="1" name="Vf_SR" vbProcedure="false">'single output'!#ref!</definedName>
    <definedName function="false" hidden="false" localSheetId="1" name="Vgs_Qs" vbProcedure="false">'single output'!#ref!</definedName>
    <definedName function="false" hidden="false" localSheetId="1" name="VINPUT_Brownin" vbProcedure="false">'single output'!#ref!</definedName>
    <definedName function="false" hidden="false" localSheetId="1" name="VINPUT_Brownout" vbProcedure="false">'single output'!#ref!</definedName>
    <definedName function="false" hidden="false" localSheetId="1" name="VINPUT_BUR" vbProcedure="false">'single output'!#ref!</definedName>
    <definedName function="false" hidden="false" localSheetId="1" name="VINPUT_max" vbProcedure="false">'single output'!#ref!</definedName>
    <definedName function="false" hidden="false" localSheetId="1" name="VINPUT_nom" vbProcedure="false">'single output'!#ref!</definedName>
    <definedName function="false" hidden="false" localSheetId="1" name="VIN_LOW" vbProcedure="false">'single output'!#ref!</definedName>
    <definedName function="false" hidden="false" localSheetId="1" name="Vin_type" vbProcedure="false">'single output'!#ref!</definedName>
    <definedName function="false" hidden="false" localSheetId="1" name="VOUT" vbProcedure="false">'single output'!#ref!</definedName>
    <definedName function="false" hidden="false" localSheetId="1" name="Vo_drop" vbProcedure="false">'single output'!#ref!</definedName>
    <definedName function="false" hidden="false" localSheetId="1" name="VPP_MAX" vbProcedure="false">'single output'!#ref!</definedName>
    <definedName function="false" hidden="false" localSheetId="1" name="Vref_431" vbProcedure="false">'single output'!#ref!</definedName>
    <definedName function="false" hidden="false" localSheetId="1" name="VSR_actual" vbProcedure="false">'single output'!#ref!</definedName>
    <definedName function="false" hidden="false" localSheetId="1" name="Vth_Qs" vbProcedure="false">'single output'!#ref!</definedName>
    <definedName function="false" hidden="false" localSheetId="1" name="Vxh" vbProcedure="false">'single output'!#ref!</definedName>
    <definedName function="false" hidden="false" localSheetId="1" name="Vxl" vbProcedure="false">'single output'!#ref!</definedName>
    <definedName function="false" hidden="false" localSheetId="1" name="Vx_SR" vbProcedure="false">'single output'!#ref!</definedName>
    <definedName function="false" hidden="false" localSheetId="1" name="η_min" vbProcedure="false">'single output'!#ref!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<sst xmlns="http://schemas.openxmlformats.org/spreadsheetml/2006/main" count="246" uniqueCount="153">
  <si>
    <r>
      <rPr>
        <b val="true"/>
        <sz val="24"/>
        <color rgb="FFFFFFFF"/>
        <rFont val="Arial"/>
        <family val="2"/>
        <charset val="1"/>
      </rPr>
      <t xml:space="preserve">UCC1434x-Q1 DESIGN CALCULATOR TOOL: DUAL OUTPUT</t>
    </r>
    <r>
      <rPr>
        <sz val="20"/>
        <color rgb="FFFFFFFF"/>
        <rFont val="Arial"/>
        <family val="2"/>
        <charset val="1"/>
      </rPr>
      <t xml:space="preserve"> (Ver. 8)</t>
    </r>
  </si>
  <si>
    <t xml:space="preserve">Disclaimer</t>
  </si>
  <si>
    <t xml:space="preserve">This product is designed as an aid for customers of Texas Instruments. No warranties, either expressed or implied, with respect to this software or its fitness for any particular purpose, are claimed by Texas Instruments or the author. The software is licensed solely on an "as is" basis. The entire risk as to its quality and performance is with the customer.</t>
  </si>
  <si>
    <t xml:space="preserve">UCC1434x-Q1 1.5-W, 15-V VIN, High-Efficiency, Isolated DC/DC Module</t>
  </si>
  <si>
    <t xml:space="preserve">CLEAR ALL USER INPUT CELLS BEFORE STARTING A NEW DESIGN</t>
  </si>
  <si>
    <r>
      <rPr>
        <b val="true"/>
        <sz val="14"/>
        <color theme="1"/>
        <rFont val="Arial"/>
        <family val="2"/>
        <charset val="1"/>
      </rPr>
      <t xml:space="preserve">ALL </t>
    </r>
    <r>
      <rPr>
        <b val="true"/>
        <sz val="14"/>
        <color rgb="FF92D050"/>
        <rFont val="Arial"/>
        <family val="2"/>
        <charset val="1"/>
      </rPr>
      <t xml:space="preserve">GREEN</t>
    </r>
    <r>
      <rPr>
        <b val="true"/>
        <sz val="14"/>
        <color theme="1"/>
        <rFont val="Arial"/>
        <family val="2"/>
        <charset val="1"/>
      </rPr>
      <t xml:space="preserve"> CELLS ARE USER INPUTS; CELLS INTO </t>
    </r>
    <r>
      <rPr>
        <b val="true"/>
        <sz val="14"/>
        <color rgb="FFFF0000"/>
        <rFont val="Arial"/>
        <family val="2"/>
        <charset val="1"/>
      </rPr>
      <t xml:space="preserve">RED</t>
    </r>
    <r>
      <rPr>
        <b val="true"/>
        <sz val="14"/>
        <color theme="1"/>
        <rFont val="Arial"/>
        <family val="2"/>
        <charset val="1"/>
      </rPr>
      <t xml:space="preserve"> MEANS ERROR ON USER INPUTS</t>
    </r>
  </si>
  <si>
    <r>
      <rPr>
        <sz val="11"/>
        <rFont val="Arial"/>
        <family val="2"/>
        <charset val="1"/>
      </rPr>
      <t xml:space="preserve">WHERE APPLICABLE, A RECOMMENDED VALUE IS GIVEN THAT WILL BE THE BEST CHOICE TO MEET THE GIVEN SPECIFICATION.  IT IS IN THE BEST INTEREST OF THE USER TO USE A VALUE AS CLOSE AS POSSIBLE TO THE RECOMMENDED</t>
    </r>
    <r>
      <rPr>
        <sz val="11"/>
        <color rgb="FFFF00FF"/>
        <rFont val="Arial"/>
        <family val="2"/>
        <charset val="1"/>
      </rPr>
      <t xml:space="preserve"> </t>
    </r>
    <r>
      <rPr>
        <sz val="11"/>
        <rFont val="Arial"/>
        <family val="2"/>
        <charset val="1"/>
      </rPr>
      <t xml:space="preserve"> VALUE.  FOR ACCURATE RESULTS, THE USER MUST ENTER THE ACTUAL VALUE USED IN THE APPROPRIATE CELL.</t>
    </r>
  </si>
  <si>
    <t xml:space="preserve">DESIGN REQUIREMENTS</t>
  </si>
  <si>
    <t xml:space="preserve">Differential voltage between VDD and VEE, VDD - VEE =</t>
  </si>
  <si>
    <t xml:space="preserve">V</t>
  </si>
  <si>
    <t xml:space="preserve">Differential voltage between COM and VEE, COM - VEE =</t>
  </si>
  <si>
    <t xml:space="preserve">VDD-COM</t>
  </si>
  <si>
    <r>
      <rPr>
        <sz val="11"/>
        <rFont val="Arial"/>
        <family val="2"/>
        <charset val="1"/>
      </rPr>
      <t xml:space="preserve">Total gate charge of power switch, Q</t>
    </r>
    <r>
      <rPr>
        <vertAlign val="subscript"/>
        <sz val="11"/>
        <rFont val="Arial"/>
        <family val="2"/>
        <charset val="1"/>
      </rPr>
      <t xml:space="preserve">gtot</t>
    </r>
    <r>
      <rPr>
        <sz val="11"/>
        <rFont val="Arial"/>
        <family val="2"/>
        <charset val="1"/>
      </rPr>
      <t xml:space="preserve"> =</t>
    </r>
  </si>
  <si>
    <t xml:space="preserve">µC</t>
  </si>
  <si>
    <t xml:space="preserve">Desired AC gate-switching ripple between VDD and COM</t>
  </si>
  <si>
    <r>
      <rPr>
        <sz val="11"/>
        <rFont val="Arial"/>
        <family val="2"/>
        <charset val="1"/>
      </rPr>
      <t xml:space="preserve">Switching frequency of gate driver load, f</t>
    </r>
    <r>
      <rPr>
        <vertAlign val="subscript"/>
        <sz val="11"/>
        <rFont val="Arial"/>
        <family val="2"/>
        <charset val="1"/>
      </rPr>
      <t xml:space="preserve">SW </t>
    </r>
    <r>
      <rPr>
        <sz val="11"/>
        <rFont val="Arial"/>
        <family val="2"/>
        <charset val="1"/>
      </rPr>
      <t xml:space="preserve">=</t>
    </r>
  </si>
  <si>
    <t xml:space="preserve">kHz</t>
  </si>
  <si>
    <r>
      <rPr>
        <sz val="11"/>
        <rFont val="Arial"/>
        <family val="2"/>
        <charset val="1"/>
      </rPr>
      <t xml:space="preserve">Quiescent current of the gate driver from (VDD – COM), I</t>
    </r>
    <r>
      <rPr>
        <vertAlign val="subscript"/>
        <sz val="11"/>
        <rFont val="Arial"/>
        <family val="2"/>
        <charset val="1"/>
      </rPr>
      <t xml:space="preserve">Q_DRIVER_VDD</t>
    </r>
  </si>
  <si>
    <t xml:space="preserve">mA</t>
  </si>
  <si>
    <t xml:space="preserve">Includes the operating current of gate driver without switching</t>
  </si>
  <si>
    <r>
      <rPr>
        <sz val="11"/>
        <rFont val="Arial"/>
        <family val="2"/>
        <charset val="1"/>
      </rPr>
      <t xml:space="preserve">Quiescent current of the gate driver from (COM – VEE), I</t>
    </r>
    <r>
      <rPr>
        <vertAlign val="subscript"/>
        <sz val="11"/>
        <rFont val="Arial"/>
        <family val="2"/>
        <charset val="1"/>
      </rPr>
      <t xml:space="preserve">Q_DRIVER_VEE</t>
    </r>
  </si>
  <si>
    <r>
      <rPr>
        <sz val="11"/>
        <rFont val="Arial"/>
        <family val="2"/>
        <charset val="1"/>
      </rPr>
      <t xml:space="preserve">Quiescent current of other load on (VDD – COM) except gate driver, I</t>
    </r>
    <r>
      <rPr>
        <vertAlign val="subscript"/>
        <sz val="11"/>
        <rFont val="Arial"/>
        <family val="2"/>
        <charset val="1"/>
      </rPr>
      <t xml:space="preserve">Q_OTHER_VDD</t>
    </r>
  </si>
  <si>
    <r>
      <rPr>
        <sz val="11"/>
        <rFont val="Arial"/>
        <family val="2"/>
        <charset val="1"/>
      </rPr>
      <t xml:space="preserve">Quiescent current of other load on (COM – VEE) except gate driver, I</t>
    </r>
    <r>
      <rPr>
        <vertAlign val="subscript"/>
        <sz val="11"/>
        <rFont val="Arial"/>
        <family val="2"/>
        <charset val="1"/>
      </rPr>
      <t xml:space="preserve">Q_OTHER_VEE</t>
    </r>
  </si>
  <si>
    <r>
      <rPr>
        <sz val="11"/>
        <rFont val="Arial"/>
        <family val="2"/>
        <charset val="1"/>
      </rPr>
      <t xml:space="preserve">Total quiescent current from (VDD-COM), I</t>
    </r>
    <r>
      <rPr>
        <vertAlign val="subscript"/>
        <sz val="11"/>
        <rFont val="Arial"/>
        <family val="2"/>
        <charset val="1"/>
      </rPr>
      <t xml:space="preserve">Q_VDD-COM</t>
    </r>
  </si>
  <si>
    <r>
      <rPr>
        <sz val="11"/>
        <rFont val="Arial"/>
        <family val="2"/>
        <charset val="1"/>
      </rPr>
      <t xml:space="preserve">Total quiescent current from (COM-VEE), I</t>
    </r>
    <r>
      <rPr>
        <vertAlign val="subscript"/>
        <sz val="11"/>
        <rFont val="Arial"/>
        <family val="2"/>
        <charset val="1"/>
      </rPr>
      <t xml:space="preserve">Q_COM-VEE</t>
    </r>
  </si>
  <si>
    <r>
      <rPr>
        <sz val="11"/>
        <rFont val="Arial"/>
        <family val="2"/>
        <charset val="1"/>
      </rPr>
      <t xml:space="preserve">Bottom feedback resistor between FBVDD and VEE, R</t>
    </r>
    <r>
      <rPr>
        <vertAlign val="subscript"/>
        <sz val="11"/>
        <rFont val="Arial"/>
        <family val="2"/>
        <charset val="1"/>
      </rPr>
      <t xml:space="preserve">FBVDD_VEE</t>
    </r>
  </si>
  <si>
    <t xml:space="preserve">kΩ</t>
  </si>
  <si>
    <r>
      <rPr>
        <sz val="11"/>
        <rFont val="Arial"/>
        <family val="2"/>
        <charset val="1"/>
      </rPr>
      <t xml:space="preserve">Desired AC gate-switching ripple percentage between VDD and COM, %V</t>
    </r>
    <r>
      <rPr>
        <vertAlign val="subscript"/>
        <sz val="11"/>
        <rFont val="Arial"/>
        <family val="2"/>
        <charset val="1"/>
      </rPr>
      <t xml:space="preserve">PP_MAX</t>
    </r>
  </si>
  <si>
    <t xml:space="preserve">%</t>
  </si>
  <si>
    <t xml:space="preserve">Respect to VDD-COM</t>
  </si>
  <si>
    <r>
      <rPr>
        <sz val="11"/>
        <rFont val="Arial"/>
        <family val="2"/>
        <charset val="1"/>
      </rPr>
      <t xml:space="preserve">Max. component tolerance of C</t>
    </r>
    <r>
      <rPr>
        <vertAlign val="subscript"/>
        <sz val="11"/>
        <rFont val="Arial"/>
        <family val="2"/>
        <charset val="1"/>
      </rPr>
      <t xml:space="preserve">OUT2</t>
    </r>
  </si>
  <si>
    <r>
      <rPr>
        <sz val="11"/>
        <rFont val="Arial"/>
        <family val="2"/>
        <charset val="1"/>
      </rPr>
      <t xml:space="preserve">Min. component tolerance of C</t>
    </r>
    <r>
      <rPr>
        <vertAlign val="subscript"/>
        <sz val="11"/>
        <rFont val="Arial"/>
        <family val="2"/>
        <charset val="1"/>
      </rPr>
      <t xml:space="preserve">OUT2</t>
    </r>
  </si>
  <si>
    <r>
      <rPr>
        <sz val="11"/>
        <rFont val="Arial"/>
        <family val="2"/>
        <charset val="1"/>
      </rPr>
      <t xml:space="preserve">Max. component tolerance of C</t>
    </r>
    <r>
      <rPr>
        <vertAlign val="subscript"/>
        <sz val="11"/>
        <rFont val="Arial"/>
        <family val="2"/>
        <charset val="1"/>
      </rPr>
      <t xml:space="preserve">OUT3</t>
    </r>
  </si>
  <si>
    <r>
      <rPr>
        <sz val="11"/>
        <rFont val="Arial"/>
        <family val="2"/>
        <charset val="1"/>
      </rPr>
      <t xml:space="preserve">Min. component tolerance of C</t>
    </r>
    <r>
      <rPr>
        <vertAlign val="subscript"/>
        <sz val="11"/>
        <rFont val="Arial"/>
        <family val="2"/>
        <charset val="1"/>
      </rPr>
      <t xml:space="preserve">OUT3</t>
    </r>
  </si>
  <si>
    <r>
      <rPr>
        <sz val="11"/>
        <rFont val="Arial"/>
        <family val="2"/>
        <charset val="1"/>
      </rPr>
      <t xml:space="preserve">Max. RLIM current to overcome capacitance variation, I</t>
    </r>
    <r>
      <rPr>
        <vertAlign val="subscript"/>
        <sz val="11"/>
        <rFont val="Arial"/>
        <family val="2"/>
        <charset val="1"/>
      </rPr>
      <t xml:space="preserve">RLM_CAP</t>
    </r>
  </si>
  <si>
    <t xml:space="preserve">Positive means out of RLIM pin
Negative means into RLIM pin</t>
  </si>
  <si>
    <r>
      <rPr>
        <sz val="11"/>
        <color theme="1"/>
        <rFont val="Calibri"/>
        <family val="2"/>
        <charset val="136"/>
      </rPr>
      <t xml:space="preserve">I</t>
    </r>
    <r>
      <rPr>
        <vertAlign val="subscript"/>
        <sz val="11"/>
        <color theme="1"/>
        <rFont val="Calibri"/>
        <family val="2"/>
        <charset val="1"/>
      </rPr>
      <t xml:space="preserve">LIM</t>
    </r>
    <r>
      <rPr>
        <sz val="11"/>
        <color theme="1"/>
        <rFont val="Calibri"/>
        <family val="2"/>
        <charset val="136"/>
      </rPr>
      <t xml:space="preserve"> out of RLIM pin to compensate the capacitor mismatch</t>
    </r>
  </si>
  <si>
    <r>
      <rPr>
        <sz val="11"/>
        <color theme="1"/>
        <rFont val="Calibri"/>
        <family val="2"/>
        <charset val="136"/>
      </rPr>
      <t xml:space="preserve">I</t>
    </r>
    <r>
      <rPr>
        <vertAlign val="subscript"/>
        <sz val="11"/>
        <color theme="1"/>
        <rFont val="Calibri"/>
        <family val="2"/>
        <charset val="1"/>
      </rPr>
      <t xml:space="preserve">LIM</t>
    </r>
    <r>
      <rPr>
        <sz val="11"/>
        <color theme="1"/>
        <rFont val="Calibri"/>
        <family val="2"/>
        <charset val="136"/>
      </rPr>
      <t xml:space="preserve"> into RLIM pin to compensate the capacitor mismatch</t>
    </r>
  </si>
  <si>
    <r>
      <rPr>
        <sz val="11"/>
        <rFont val="Arial"/>
        <family val="2"/>
        <charset val="1"/>
      </rPr>
      <t xml:space="preserve">Max. RLIM current to overcome capacitance variation &amp; differential I</t>
    </r>
    <r>
      <rPr>
        <vertAlign val="subscript"/>
        <sz val="11"/>
        <rFont val="Arial"/>
        <family val="2"/>
        <charset val="1"/>
      </rPr>
      <t xml:space="preserve">Q</t>
    </r>
  </si>
  <si>
    <r>
      <rPr>
        <sz val="11"/>
        <color theme="1"/>
        <rFont val="Calibri"/>
        <family val="2"/>
        <charset val="136"/>
      </rPr>
      <t xml:space="preserve">Total I</t>
    </r>
    <r>
      <rPr>
        <vertAlign val="subscript"/>
        <sz val="11"/>
        <color theme="1"/>
        <rFont val="Calibri"/>
        <family val="2"/>
        <charset val="1"/>
      </rPr>
      <t xml:space="preserve">LIM</t>
    </r>
    <r>
      <rPr>
        <sz val="11"/>
        <color theme="1"/>
        <rFont val="Calibri"/>
        <family val="2"/>
        <charset val="136"/>
      </rPr>
      <t xml:space="preserve"> considering Min. pull-up capability of RLIM regulator</t>
    </r>
  </si>
  <si>
    <r>
      <rPr>
        <sz val="11"/>
        <color theme="1"/>
        <rFont val="Calibri"/>
        <family val="2"/>
        <charset val="136"/>
      </rPr>
      <t xml:space="preserve">Total I</t>
    </r>
    <r>
      <rPr>
        <vertAlign val="subscript"/>
        <sz val="11"/>
        <color theme="1"/>
        <rFont val="Calibri"/>
        <family val="2"/>
        <charset val="1"/>
      </rPr>
      <t xml:space="preserve">LIM</t>
    </r>
    <r>
      <rPr>
        <sz val="11"/>
        <color theme="1"/>
        <rFont val="Calibri"/>
        <family val="2"/>
        <charset val="136"/>
      </rPr>
      <t xml:space="preserve"> considering Min. pull-down capability of RLIM regulator</t>
    </r>
  </si>
  <si>
    <t xml:space="preserve">Output power contribution from gate driver switching</t>
  </si>
  <si>
    <t xml:space="preserve">W</t>
  </si>
  <si>
    <t xml:space="preserve">Output power contribution from gate driver quiescent current</t>
  </si>
  <si>
    <r>
      <rPr>
        <sz val="11"/>
        <rFont val="Arial"/>
        <family val="2"/>
        <charset val="1"/>
      </rPr>
      <t xml:space="preserve">Output power contribution from capacitor mismatch current (I</t>
    </r>
    <r>
      <rPr>
        <vertAlign val="subscript"/>
        <sz val="11"/>
        <rFont val="Arial"/>
        <family val="2"/>
        <charset val="1"/>
      </rPr>
      <t xml:space="preserve">RLM_CAP</t>
    </r>
    <r>
      <rPr>
        <sz val="11"/>
        <rFont val="Arial"/>
        <family val="2"/>
        <charset val="1"/>
      </rPr>
      <t xml:space="preserve">)</t>
    </r>
  </si>
  <si>
    <r>
      <rPr>
        <sz val="11"/>
        <rFont val="Arial"/>
        <family val="2"/>
        <charset val="1"/>
      </rPr>
      <t xml:space="preserve">Max. Avg power capability based on provided SOA and T</t>
    </r>
    <r>
      <rPr>
        <vertAlign val="subscript"/>
        <sz val="11"/>
        <rFont val="Arial"/>
        <family val="2"/>
        <charset val="1"/>
      </rPr>
      <t xml:space="preserve">AMB</t>
    </r>
    <r>
      <rPr>
        <sz val="11"/>
        <rFont val="Arial"/>
        <family val="2"/>
        <charset val="1"/>
      </rPr>
      <t xml:space="preserve">, P</t>
    </r>
    <r>
      <rPr>
        <vertAlign val="subscript"/>
        <sz val="11"/>
        <rFont val="Arial"/>
        <family val="2"/>
        <charset val="1"/>
      </rPr>
      <t xml:space="preserve">AVG </t>
    </r>
    <r>
      <rPr>
        <sz val="11"/>
        <rFont val="Arial"/>
        <family val="2"/>
        <charset val="1"/>
      </rPr>
      <t xml:space="preserve">=</t>
    </r>
  </si>
  <si>
    <t xml:space="preserve">Refer to the Maximum Recommended 
Average Power Area in SOA figure. Note (2).</t>
  </si>
  <si>
    <r>
      <rPr>
        <sz val="11"/>
        <rFont val="Arial"/>
        <family val="2"/>
        <charset val="1"/>
      </rPr>
      <t xml:space="preserve">Total output power requirement without RLIM regulator loss, P</t>
    </r>
    <r>
      <rPr>
        <vertAlign val="subscript"/>
        <sz val="11"/>
        <rFont val="Arial"/>
        <family val="2"/>
        <charset val="1"/>
      </rPr>
      <t xml:space="preserve">O</t>
    </r>
    <r>
      <rPr>
        <sz val="11"/>
        <rFont val="Arial"/>
        <family val="2"/>
        <charset val="1"/>
      </rPr>
      <t xml:space="preserve"> =</t>
    </r>
  </si>
  <si>
    <r>
      <rPr>
        <sz val="11"/>
        <rFont val="Arial"/>
        <family val="2"/>
        <charset val="1"/>
      </rPr>
      <t xml:space="preserve">&lt; Max. AVG power capability 
based on provided SOA &amp; T</t>
    </r>
    <r>
      <rPr>
        <vertAlign val="subscript"/>
        <sz val="11"/>
        <rFont val="Arial"/>
        <family val="2"/>
        <charset val="1"/>
      </rPr>
      <t xml:space="preserve">AMB</t>
    </r>
  </si>
  <si>
    <r>
      <rPr>
        <sz val="11"/>
        <rFont val="Arial"/>
        <family val="2"/>
        <charset val="1"/>
      </rPr>
      <t xml:space="preserve">Max. transient power capability based on provided SOA and T</t>
    </r>
    <r>
      <rPr>
        <vertAlign val="subscript"/>
        <sz val="11"/>
        <rFont val="Arial"/>
        <family val="2"/>
        <charset val="1"/>
      </rPr>
      <t xml:space="preserve">AMB</t>
    </r>
    <r>
      <rPr>
        <sz val="11"/>
        <rFont val="Arial"/>
        <family val="2"/>
        <charset val="1"/>
      </rPr>
      <t xml:space="preserve">, P</t>
    </r>
    <r>
      <rPr>
        <vertAlign val="subscript"/>
        <sz val="11"/>
        <rFont val="Arial"/>
        <family val="2"/>
        <charset val="1"/>
      </rPr>
      <t xml:space="preserve">MAX</t>
    </r>
    <r>
      <rPr>
        <sz val="11"/>
        <rFont val="Arial"/>
        <family val="2"/>
        <charset val="1"/>
      </rPr>
      <t xml:space="preserve"> =</t>
    </r>
  </si>
  <si>
    <r>
      <rPr>
        <sz val="11"/>
        <rFont val="Arial"/>
        <family val="2"/>
        <charset val="1"/>
      </rPr>
      <t xml:space="preserve">Use maximum power at 25</t>
    </r>
    <r>
      <rPr>
        <vertAlign val="superscript"/>
        <sz val="11"/>
        <rFont val="Arial"/>
        <family val="2"/>
        <charset val="1"/>
      </rPr>
      <t xml:space="preserve">o</t>
    </r>
    <r>
      <rPr>
        <sz val="11"/>
        <rFont val="Arial"/>
        <family val="2"/>
        <charset val="1"/>
      </rPr>
      <t xml:space="preserve">C ambient temperature in the SOA figure.</t>
    </r>
  </si>
  <si>
    <t xml:space="preserve">A</t>
  </si>
  <si>
    <t xml:space="preserve">I_MAX_POWER</t>
  </si>
  <si>
    <r>
      <rPr>
        <sz val="11"/>
        <rFont val="Arial"/>
        <family val="2"/>
        <charset val="1"/>
      </rPr>
      <t xml:space="preserve">Max. transient output current capability with gate driver load, I</t>
    </r>
    <r>
      <rPr>
        <vertAlign val="subscript"/>
        <sz val="11"/>
        <rFont val="Arial"/>
        <family val="2"/>
        <charset val="1"/>
      </rPr>
      <t xml:space="preserve">MAX_POWER</t>
    </r>
    <r>
      <rPr>
        <sz val="11"/>
        <rFont val="Arial"/>
        <family val="2"/>
        <charset val="1"/>
      </rPr>
      <t xml:space="preserve"> =</t>
    </r>
  </si>
  <si>
    <t xml:space="preserve">RECOMMENDED COMPONENT VALUE FROM DESIGN REQUIREMENTS</t>
  </si>
  <si>
    <r>
      <rPr>
        <b val="true"/>
        <i val="true"/>
        <sz val="14"/>
        <rFont val="Arial"/>
        <family val="2"/>
        <charset val="1"/>
      </rPr>
      <t xml:space="preserve">Resistor Divider Design for V</t>
    </r>
    <r>
      <rPr>
        <b val="true"/>
        <i val="true"/>
        <vertAlign val="subscript"/>
        <sz val="14"/>
        <rFont val="Arial"/>
        <family val="2"/>
        <charset val="1"/>
      </rPr>
      <t xml:space="preserve">VDD-VEE</t>
    </r>
    <r>
      <rPr>
        <b val="true"/>
        <i val="true"/>
        <sz val="14"/>
        <rFont val="Arial"/>
        <family val="2"/>
        <charset val="1"/>
      </rPr>
      <t xml:space="preserve"> and V</t>
    </r>
    <r>
      <rPr>
        <b val="true"/>
        <i val="true"/>
        <vertAlign val="subscript"/>
        <sz val="14"/>
        <rFont val="Arial"/>
        <family val="2"/>
        <charset val="1"/>
      </rPr>
      <t xml:space="preserve">COM-VEE</t>
    </r>
  </si>
  <si>
    <r>
      <rPr>
        <sz val="11"/>
        <rFont val="Arial"/>
        <family val="2"/>
        <charset val="1"/>
      </rPr>
      <t xml:space="preserve">Top feedback resistor between VDD and FBVDD, R</t>
    </r>
    <r>
      <rPr>
        <vertAlign val="subscript"/>
        <sz val="11"/>
        <rFont val="Arial"/>
        <family val="2"/>
        <charset val="1"/>
      </rPr>
      <t xml:space="preserve">FBVDD_VDD</t>
    </r>
    <r>
      <rPr>
        <sz val="11"/>
        <rFont val="Arial"/>
        <family val="2"/>
        <charset val="1"/>
      </rPr>
      <t xml:space="preserve"> =</t>
    </r>
  </si>
  <si>
    <r>
      <rPr>
        <b val="true"/>
        <i val="true"/>
        <sz val="14"/>
        <rFont val="Arial"/>
        <family val="2"/>
        <charset val="1"/>
      </rPr>
      <t xml:space="preserve">Decoupling Capacitor Design Close to Output Load (C</t>
    </r>
    <r>
      <rPr>
        <b val="true"/>
        <i val="true"/>
        <vertAlign val="subscript"/>
        <sz val="14"/>
        <rFont val="Arial"/>
        <family val="2"/>
        <charset val="1"/>
      </rPr>
      <t xml:space="preserve">OUT1B</t>
    </r>
    <r>
      <rPr>
        <b val="true"/>
        <i val="true"/>
        <sz val="14"/>
        <rFont val="Arial"/>
        <family val="2"/>
        <charset val="1"/>
      </rPr>
      <t xml:space="preserve">, C</t>
    </r>
    <r>
      <rPr>
        <b val="true"/>
        <i val="true"/>
        <vertAlign val="subscript"/>
        <sz val="14"/>
        <rFont val="Arial"/>
        <family val="2"/>
        <charset val="1"/>
      </rPr>
      <t xml:space="preserve">OUT2</t>
    </r>
    <r>
      <rPr>
        <b val="true"/>
        <i val="true"/>
        <sz val="14"/>
        <rFont val="Arial"/>
        <family val="2"/>
        <charset val="1"/>
      </rPr>
      <t xml:space="preserve">, and C</t>
    </r>
    <r>
      <rPr>
        <b val="true"/>
        <i val="true"/>
        <vertAlign val="subscript"/>
        <sz val="14"/>
        <rFont val="Arial"/>
        <family val="2"/>
        <charset val="1"/>
      </rPr>
      <t xml:space="preserve">OUT3</t>
    </r>
    <r>
      <rPr>
        <b val="true"/>
        <i val="true"/>
        <sz val="14"/>
        <rFont val="Arial"/>
        <family val="2"/>
        <charset val="1"/>
      </rPr>
      <t xml:space="preserve">)</t>
    </r>
  </si>
  <si>
    <r>
      <rPr>
        <sz val="11"/>
        <rFont val="Arial"/>
        <family val="2"/>
        <charset val="1"/>
      </rPr>
      <t xml:space="preserve">Recommended energy-storage capacitance between VDD and VEE, C</t>
    </r>
    <r>
      <rPr>
        <vertAlign val="subscript"/>
        <sz val="11"/>
        <rFont val="Arial"/>
        <family val="2"/>
        <charset val="1"/>
      </rPr>
      <t xml:space="preserve">OUT1B</t>
    </r>
    <r>
      <rPr>
        <sz val="11"/>
        <rFont val="Arial"/>
        <family val="2"/>
        <charset val="1"/>
      </rPr>
      <t xml:space="preserve">, at Gate Driver</t>
    </r>
  </si>
  <si>
    <t xml:space="preserve">uF</t>
  </si>
  <si>
    <r>
      <rPr>
        <sz val="11"/>
        <rFont val="Arial"/>
        <family val="2"/>
        <charset val="1"/>
      </rPr>
      <t xml:space="preserve">Selected energy-storage capacitance between VDD and VEE, C</t>
    </r>
    <r>
      <rPr>
        <vertAlign val="subscript"/>
        <sz val="11"/>
        <rFont val="Arial"/>
        <family val="2"/>
        <charset val="1"/>
      </rPr>
      <t xml:space="preserve">OUT1B</t>
    </r>
    <r>
      <rPr>
        <sz val="11"/>
        <rFont val="Arial"/>
        <family val="2"/>
        <charset val="1"/>
      </rPr>
      <t xml:space="preserve">, at Gate Driver</t>
    </r>
  </si>
  <si>
    <r>
      <rPr>
        <sz val="11"/>
        <rFont val="Arial"/>
        <family val="2"/>
        <charset val="1"/>
      </rPr>
      <t xml:space="preserve">Choose closest stardard value. 
but higher than C</t>
    </r>
    <r>
      <rPr>
        <vertAlign val="subscript"/>
        <sz val="11"/>
        <rFont val="Arial"/>
        <family val="2"/>
        <charset val="1"/>
      </rPr>
      <t xml:space="preserve">OUT1B(MIN)</t>
    </r>
    <r>
      <rPr>
        <sz val="11"/>
        <rFont val="Arial"/>
        <family val="2"/>
        <charset val="1"/>
      </rPr>
      <t xml:space="preserve">. 
Place close to gate driver. Note (1)</t>
    </r>
  </si>
  <si>
    <r>
      <rPr>
        <sz val="11"/>
        <rFont val="Arial"/>
        <family val="2"/>
        <charset val="1"/>
      </rPr>
      <t xml:space="preserve">Min. energy-storage capacitance between VDD and COM, C</t>
    </r>
    <r>
      <rPr>
        <vertAlign val="subscript"/>
        <sz val="11"/>
        <rFont val="Arial"/>
        <family val="2"/>
        <charset val="1"/>
      </rPr>
      <t xml:space="preserve">OUT2(MIN)</t>
    </r>
    <r>
      <rPr>
        <sz val="11"/>
        <rFont val="Arial"/>
        <family val="2"/>
        <charset val="1"/>
      </rPr>
      <t xml:space="preserve"> =</t>
    </r>
  </si>
  <si>
    <t xml:space="preserve">µF</t>
  </si>
  <si>
    <t xml:space="preserve">K23</t>
  </si>
  <si>
    <r>
      <rPr>
        <sz val="11"/>
        <rFont val="Arial"/>
        <family val="2"/>
        <charset val="1"/>
      </rPr>
      <t xml:space="preserve">Selected energy-storage capacitance between VDD and COM, C</t>
    </r>
    <r>
      <rPr>
        <vertAlign val="subscript"/>
        <sz val="11"/>
        <rFont val="Arial"/>
        <family val="2"/>
        <charset val="1"/>
      </rPr>
      <t xml:space="preserve">OUT2</t>
    </r>
    <r>
      <rPr>
        <sz val="11"/>
        <rFont val="Arial"/>
        <family val="2"/>
        <charset val="1"/>
      </rPr>
      <t xml:space="preserve"> =</t>
    </r>
  </si>
  <si>
    <r>
      <rPr>
        <sz val="11"/>
        <rFont val="Arial"/>
        <family val="2"/>
        <charset val="1"/>
      </rPr>
      <t xml:space="preserve">Choose closest stardard value
but higher than C</t>
    </r>
    <r>
      <rPr>
        <vertAlign val="subscript"/>
        <sz val="11"/>
        <rFont val="Arial"/>
        <family val="2"/>
        <charset val="1"/>
      </rPr>
      <t xml:space="preserve">OUT2(MIN)</t>
    </r>
    <r>
      <rPr>
        <sz val="11"/>
        <rFont val="Arial"/>
        <family val="2"/>
        <charset val="1"/>
      </rPr>
      <t xml:space="preserve">. 
Place close to gate driver. Note (1)</t>
    </r>
  </si>
  <si>
    <t xml:space="preserve">K23^2+K23+1</t>
  </si>
  <si>
    <r>
      <rPr>
        <sz val="11"/>
        <rFont val="Arial"/>
        <family val="2"/>
        <charset val="1"/>
      </rPr>
      <t xml:space="preserve">Min. decoupling capacitance between COM and VEE, C</t>
    </r>
    <r>
      <rPr>
        <vertAlign val="subscript"/>
        <sz val="11"/>
        <rFont val="Arial"/>
        <family val="2"/>
        <charset val="1"/>
      </rPr>
      <t xml:space="preserve">OUT3(MIN)</t>
    </r>
    <r>
      <rPr>
        <sz val="11"/>
        <rFont val="Arial"/>
        <family val="2"/>
        <charset val="1"/>
      </rPr>
      <t xml:space="preserve"> =</t>
    </r>
  </si>
  <si>
    <r>
      <rPr>
        <sz val="11"/>
        <rFont val="Arial"/>
        <family val="2"/>
        <charset val="1"/>
      </rPr>
      <t xml:space="preserve">Selected C</t>
    </r>
    <r>
      <rPr>
        <vertAlign val="subscript"/>
        <sz val="11"/>
        <rFont val="Arial"/>
        <family val="2"/>
        <charset val="1"/>
      </rPr>
      <t xml:space="preserve">OUT3</t>
    </r>
    <r>
      <rPr>
        <sz val="11"/>
        <rFont val="Arial"/>
        <family val="2"/>
        <charset val="1"/>
      </rPr>
      <t xml:space="preserve"> value, C</t>
    </r>
    <r>
      <rPr>
        <vertAlign val="subscript"/>
        <sz val="11"/>
        <rFont val="Arial"/>
        <family val="2"/>
        <charset val="1"/>
      </rPr>
      <t xml:space="preserve">OUT3</t>
    </r>
    <r>
      <rPr>
        <sz val="11"/>
        <rFont val="Arial"/>
        <family val="2"/>
        <charset val="1"/>
      </rPr>
      <t xml:space="preserve"> =</t>
    </r>
  </si>
  <si>
    <r>
      <rPr>
        <sz val="11"/>
        <rFont val="Arial"/>
        <family val="2"/>
        <charset val="1"/>
      </rPr>
      <t xml:space="preserve">Choose closest stardard value
but higher than C</t>
    </r>
    <r>
      <rPr>
        <vertAlign val="subscript"/>
        <sz val="11"/>
        <rFont val="Arial"/>
        <family val="2"/>
        <charset val="1"/>
      </rPr>
      <t xml:space="preserve">OUT3(MIN)</t>
    </r>
    <r>
      <rPr>
        <sz val="11"/>
        <rFont val="Arial"/>
        <family val="2"/>
        <charset val="1"/>
      </rPr>
      <t xml:space="preserve">. 
Place close to gate driver. Note (1)</t>
    </r>
  </si>
  <si>
    <r>
      <rPr>
        <b val="true"/>
        <i val="true"/>
        <sz val="14"/>
        <rFont val="Arial"/>
        <family val="2"/>
        <charset val="1"/>
      </rPr>
      <t xml:space="preserve">RLIM Pin : Single R</t>
    </r>
    <r>
      <rPr>
        <b val="true"/>
        <i val="true"/>
        <vertAlign val="subscript"/>
        <sz val="14"/>
        <rFont val="Arial"/>
        <family val="2"/>
        <charset val="1"/>
      </rPr>
      <t xml:space="preserve">LIM</t>
    </r>
    <r>
      <rPr>
        <b val="true"/>
        <i val="true"/>
        <sz val="14"/>
        <rFont val="Arial"/>
        <family val="2"/>
        <charset val="1"/>
      </rPr>
      <t xml:space="preserve"> Resistor Option (Without D</t>
    </r>
    <r>
      <rPr>
        <b val="true"/>
        <i val="true"/>
        <vertAlign val="subscript"/>
        <sz val="14"/>
        <rFont val="Arial"/>
        <family val="2"/>
        <charset val="1"/>
      </rPr>
      <t xml:space="preserve">LIM</t>
    </r>
    <r>
      <rPr>
        <b val="true"/>
        <i val="true"/>
        <sz val="14"/>
        <rFont val="Arial"/>
        <family val="2"/>
        <charset val="1"/>
      </rPr>
      <t xml:space="preserve"> and  R</t>
    </r>
    <r>
      <rPr>
        <b val="true"/>
        <i val="true"/>
        <vertAlign val="subscript"/>
        <sz val="14"/>
        <rFont val="Arial"/>
        <family val="2"/>
        <charset val="1"/>
      </rPr>
      <t xml:space="preserve">LIM2</t>
    </r>
    <r>
      <rPr>
        <b val="true"/>
        <i val="true"/>
        <sz val="14"/>
        <rFont val="Arial"/>
        <family val="2"/>
        <charset val="1"/>
      </rPr>
      <t xml:space="preserve">)</t>
    </r>
  </si>
  <si>
    <r>
      <rPr>
        <sz val="11"/>
        <rFont val="Arial"/>
        <family val="2"/>
        <charset val="1"/>
      </rPr>
      <t xml:space="preserve">Max. R</t>
    </r>
    <r>
      <rPr>
        <vertAlign val="subscript"/>
        <sz val="11"/>
        <rFont val="Arial"/>
        <family val="2"/>
        <charset val="1"/>
      </rPr>
      <t xml:space="preserve">LIM</t>
    </r>
    <r>
      <rPr>
        <sz val="11"/>
        <rFont val="Arial"/>
        <family val="2"/>
        <charset val="1"/>
      </rPr>
      <t xml:space="preserve"> resistance R</t>
    </r>
    <r>
      <rPr>
        <vertAlign val="subscript"/>
        <sz val="11"/>
        <rFont val="Arial"/>
        <family val="2"/>
        <charset val="1"/>
      </rPr>
      <t xml:space="preserve">LIM(MAX)</t>
    </r>
    <r>
      <rPr>
        <sz val="11"/>
        <rFont val="Arial"/>
        <family val="2"/>
        <charset val="1"/>
      </rPr>
      <t xml:space="preserve"> =</t>
    </r>
  </si>
  <si>
    <t xml:space="preserve">Ω</t>
  </si>
  <si>
    <r>
      <rPr>
        <sz val="11"/>
        <color theme="1"/>
        <rFont val="Calibri"/>
        <family val="2"/>
        <charset val="136"/>
      </rPr>
      <t xml:space="preserve">R</t>
    </r>
    <r>
      <rPr>
        <vertAlign val="subscript"/>
        <sz val="11"/>
        <color theme="1"/>
        <rFont val="Calibri"/>
        <family val="2"/>
        <charset val="1"/>
      </rPr>
      <t xml:space="preserve">LIM(MAX)</t>
    </r>
    <r>
      <rPr>
        <sz val="11"/>
        <color theme="1"/>
        <rFont val="Calibri"/>
        <family val="2"/>
        <charset val="136"/>
      </rPr>
      <t xml:space="preserve"> considering Min. pull-up capability of RLIM regulator</t>
    </r>
  </si>
  <si>
    <r>
      <rPr>
        <sz val="11"/>
        <color theme="1"/>
        <rFont val="Calibri"/>
        <family val="2"/>
        <charset val="136"/>
      </rPr>
      <t xml:space="preserve">R</t>
    </r>
    <r>
      <rPr>
        <vertAlign val="subscript"/>
        <sz val="11"/>
        <color theme="1"/>
        <rFont val="Calibri"/>
        <family val="2"/>
        <charset val="1"/>
      </rPr>
      <t xml:space="preserve">LIM(MAX)</t>
    </r>
    <r>
      <rPr>
        <sz val="11"/>
        <color theme="1"/>
        <rFont val="Calibri"/>
        <family val="2"/>
        <charset val="136"/>
      </rPr>
      <t xml:space="preserve"> considering Min. pull-down capability of RLIM regulator</t>
    </r>
  </si>
  <si>
    <r>
      <rPr>
        <sz val="11"/>
        <color theme="1"/>
        <rFont val="Calibri"/>
        <family val="2"/>
        <charset val="136"/>
      </rPr>
      <t xml:space="preserve">R</t>
    </r>
    <r>
      <rPr>
        <vertAlign val="subscript"/>
        <sz val="11"/>
        <color theme="1"/>
        <rFont val="Calibri"/>
        <family val="2"/>
        <charset val="1"/>
      </rPr>
      <t xml:space="preserve">LIM(MAX)</t>
    </r>
    <r>
      <rPr>
        <sz val="11"/>
        <color theme="1"/>
        <rFont val="Calibri"/>
        <family val="2"/>
        <charset val="136"/>
      </rPr>
      <t xml:space="preserve"> considering Min. pull-down to clear startup overshoot below OVP within 1.5ms</t>
    </r>
  </si>
  <si>
    <r>
      <rPr>
        <sz val="11"/>
        <rFont val="Arial"/>
        <family val="2"/>
        <charset val="1"/>
      </rPr>
      <t xml:space="preserve">Selected R</t>
    </r>
    <r>
      <rPr>
        <vertAlign val="subscript"/>
        <sz val="11"/>
        <rFont val="Arial"/>
        <family val="2"/>
        <charset val="1"/>
      </rPr>
      <t xml:space="preserve">LIM</t>
    </r>
    <r>
      <rPr>
        <sz val="11"/>
        <rFont val="Arial"/>
        <family val="2"/>
        <charset val="1"/>
      </rPr>
      <t xml:space="preserve"> value, R</t>
    </r>
    <r>
      <rPr>
        <vertAlign val="subscript"/>
        <sz val="11"/>
        <rFont val="Arial"/>
        <family val="2"/>
        <charset val="1"/>
      </rPr>
      <t xml:space="preserve">LIM</t>
    </r>
    <r>
      <rPr>
        <sz val="11"/>
        <rFont val="Arial"/>
        <family val="2"/>
        <charset val="1"/>
      </rPr>
      <t xml:space="preserve"> =</t>
    </r>
  </si>
  <si>
    <r>
      <rPr>
        <sz val="11"/>
        <rFont val="Arial"/>
        <family val="2"/>
        <charset val="1"/>
      </rPr>
      <t xml:space="preserve">Choose closest standard value 
but lower than R</t>
    </r>
    <r>
      <rPr>
        <vertAlign val="subscript"/>
        <sz val="11"/>
        <rFont val="Arial"/>
        <family val="2"/>
        <charset val="1"/>
      </rPr>
      <t xml:space="preserve">LIM(MAX). </t>
    </r>
    <r>
      <rPr>
        <sz val="11"/>
        <rFont val="Arial"/>
        <family val="2"/>
        <charset val="1"/>
      </rPr>
      <t xml:space="preserve">Note (3).</t>
    </r>
  </si>
  <si>
    <r>
      <rPr>
        <sz val="11"/>
        <rFont val="Arial"/>
        <family val="2"/>
        <charset val="1"/>
      </rPr>
      <t xml:space="preserve">Power loss rating of R</t>
    </r>
    <r>
      <rPr>
        <vertAlign val="subscript"/>
        <sz val="11"/>
        <rFont val="Arial"/>
        <family val="2"/>
        <charset val="1"/>
      </rPr>
      <t xml:space="preserve">LIM</t>
    </r>
    <r>
      <rPr>
        <sz val="11"/>
        <rFont val="Arial"/>
        <family val="2"/>
        <charset val="1"/>
      </rPr>
      <t xml:space="preserve"> =</t>
    </r>
  </si>
  <si>
    <r>
      <rPr>
        <sz val="11"/>
        <rFont val="Arial"/>
        <family val="2"/>
        <charset val="1"/>
      </rPr>
      <t xml:space="preserve">&lt; Max. power limit of R</t>
    </r>
    <r>
      <rPr>
        <vertAlign val="subscript"/>
        <sz val="11"/>
        <rFont val="Arial"/>
        <family val="2"/>
        <charset val="1"/>
      </rPr>
      <t xml:space="preserve">LIM</t>
    </r>
  </si>
  <si>
    <r>
      <rPr>
        <b val="true"/>
        <i val="true"/>
        <sz val="14"/>
        <rFont val="Arial"/>
        <family val="2"/>
        <charset val="1"/>
      </rPr>
      <t xml:space="preserve">RLIM Pin : RDR Option (With D</t>
    </r>
    <r>
      <rPr>
        <b val="true"/>
        <i val="true"/>
        <vertAlign val="subscript"/>
        <sz val="14"/>
        <rFont val="Arial"/>
        <family val="2"/>
        <charset val="1"/>
      </rPr>
      <t xml:space="preserve">LIM</t>
    </r>
    <r>
      <rPr>
        <b val="true"/>
        <i val="true"/>
        <sz val="14"/>
        <rFont val="Arial"/>
        <family val="2"/>
        <charset val="1"/>
      </rPr>
      <t xml:space="preserve"> and  R</t>
    </r>
    <r>
      <rPr>
        <b val="true"/>
        <i val="true"/>
        <vertAlign val="subscript"/>
        <sz val="14"/>
        <rFont val="Arial"/>
        <family val="2"/>
        <charset val="1"/>
      </rPr>
      <t xml:space="preserve">LIM2</t>
    </r>
    <r>
      <rPr>
        <b val="true"/>
        <i val="true"/>
        <sz val="14"/>
        <rFont val="Arial"/>
        <family val="2"/>
        <charset val="1"/>
      </rPr>
      <t xml:space="preserve">)</t>
    </r>
  </si>
  <si>
    <r>
      <rPr>
        <sz val="11"/>
        <color theme="1"/>
        <rFont val="Arial"/>
        <family val="2"/>
        <charset val="1"/>
      </rPr>
      <t xml:space="preserve">Max. R</t>
    </r>
    <r>
      <rPr>
        <vertAlign val="subscript"/>
        <sz val="11"/>
        <color theme="1"/>
        <rFont val="Arial"/>
        <family val="2"/>
        <charset val="1"/>
      </rPr>
      <t xml:space="preserve">LIM1</t>
    </r>
    <r>
      <rPr>
        <sz val="11"/>
        <color theme="1"/>
        <rFont val="Arial"/>
        <family val="2"/>
        <charset val="1"/>
      </rPr>
      <t xml:space="preserve"> resistance R</t>
    </r>
    <r>
      <rPr>
        <vertAlign val="subscript"/>
        <sz val="11"/>
        <color theme="1"/>
        <rFont val="Arial"/>
        <family val="2"/>
        <charset val="1"/>
      </rPr>
      <t xml:space="preserve">LIM1(MAX)</t>
    </r>
    <r>
      <rPr>
        <sz val="11"/>
        <color theme="1"/>
        <rFont val="Arial"/>
        <family val="2"/>
        <charset val="1"/>
      </rPr>
      <t xml:space="preserve"> =</t>
    </r>
  </si>
  <si>
    <t xml:space="preserve">current</t>
  </si>
  <si>
    <r>
      <rPr>
        <sz val="11"/>
        <rFont val="Arial"/>
        <family val="2"/>
        <charset val="1"/>
      </rPr>
      <t xml:space="preserve">Selected R</t>
    </r>
    <r>
      <rPr>
        <vertAlign val="subscript"/>
        <sz val="11"/>
        <rFont val="Arial"/>
        <family val="2"/>
        <charset val="1"/>
      </rPr>
      <t xml:space="preserve">LIM1</t>
    </r>
    <r>
      <rPr>
        <sz val="11"/>
        <rFont val="Arial"/>
        <family val="2"/>
        <charset val="1"/>
      </rPr>
      <t xml:space="preserve"> value, R</t>
    </r>
    <r>
      <rPr>
        <vertAlign val="subscript"/>
        <sz val="11"/>
        <rFont val="Arial"/>
        <family val="2"/>
        <charset val="1"/>
      </rPr>
      <t xml:space="preserve">LIM1</t>
    </r>
    <r>
      <rPr>
        <sz val="11"/>
        <rFont val="Arial"/>
        <family val="2"/>
        <charset val="1"/>
      </rPr>
      <t xml:space="preserve"> =</t>
    </r>
  </si>
  <si>
    <r>
      <rPr>
        <sz val="11"/>
        <rFont val="Arial"/>
        <family val="2"/>
        <charset val="1"/>
      </rPr>
      <t xml:space="preserve">Choose closest standard value but  lower than R</t>
    </r>
    <r>
      <rPr>
        <vertAlign val="subscript"/>
        <sz val="11"/>
        <rFont val="Arial"/>
        <family val="2"/>
        <charset val="1"/>
      </rPr>
      <t xml:space="preserve">LIM1(MAX), </t>
    </r>
    <r>
      <rPr>
        <sz val="11"/>
        <rFont val="Arial"/>
        <family val="2"/>
        <charset val="1"/>
      </rPr>
      <t xml:space="preserve">and not more than 3kΩ. Note (3).</t>
    </r>
  </si>
  <si>
    <r>
      <rPr>
        <sz val="11"/>
        <rFont val="Arial"/>
        <family val="2"/>
        <charset val="1"/>
      </rPr>
      <t xml:space="preserve">Power loss rating of R</t>
    </r>
    <r>
      <rPr>
        <vertAlign val="subscript"/>
        <sz val="11"/>
        <rFont val="Arial"/>
        <family val="2"/>
        <charset val="1"/>
      </rPr>
      <t xml:space="preserve">LIM1</t>
    </r>
  </si>
  <si>
    <r>
      <rPr>
        <sz val="11"/>
        <rFont val="Arial"/>
        <family val="2"/>
        <charset val="1"/>
      </rPr>
      <t xml:space="preserve">&lt; Max. power limit of R</t>
    </r>
    <r>
      <rPr>
        <vertAlign val="subscript"/>
        <sz val="11"/>
        <rFont val="Arial"/>
        <family val="2"/>
        <charset val="1"/>
      </rPr>
      <t xml:space="preserve">LIM1</t>
    </r>
  </si>
  <si>
    <t xml:space="preserve">current ratio</t>
  </si>
  <si>
    <r>
      <rPr>
        <sz val="11"/>
        <color theme="1"/>
        <rFont val="Arial"/>
        <family val="2"/>
        <charset val="1"/>
      </rPr>
      <t xml:space="preserve">Max. R</t>
    </r>
    <r>
      <rPr>
        <vertAlign val="subscript"/>
        <sz val="11"/>
        <color theme="1"/>
        <rFont val="Arial"/>
        <family val="2"/>
        <charset val="1"/>
      </rPr>
      <t xml:space="preserve">LIM2</t>
    </r>
    <r>
      <rPr>
        <sz val="11"/>
        <color theme="1"/>
        <rFont val="Arial"/>
        <family val="2"/>
        <charset val="1"/>
      </rPr>
      <t xml:space="preserve"> resistance R</t>
    </r>
    <r>
      <rPr>
        <vertAlign val="subscript"/>
        <sz val="11"/>
        <color theme="1"/>
        <rFont val="Arial"/>
        <family val="2"/>
        <charset val="1"/>
      </rPr>
      <t xml:space="preserve">LIM2(MAX)</t>
    </r>
    <r>
      <rPr>
        <sz val="11"/>
        <color theme="1"/>
        <rFont val="Arial"/>
        <family val="2"/>
        <charset val="1"/>
      </rPr>
      <t xml:space="preserve"> =</t>
    </r>
  </si>
  <si>
    <r>
      <rPr>
        <sz val="11"/>
        <rFont val="Arial"/>
        <family val="2"/>
        <charset val="1"/>
      </rPr>
      <t xml:space="preserve">Selected R</t>
    </r>
    <r>
      <rPr>
        <vertAlign val="subscript"/>
        <sz val="11"/>
        <rFont val="Arial"/>
        <family val="2"/>
        <charset val="1"/>
      </rPr>
      <t xml:space="preserve">LIM2</t>
    </r>
    <r>
      <rPr>
        <sz val="11"/>
        <rFont val="Arial"/>
        <family val="2"/>
        <charset val="1"/>
      </rPr>
      <t xml:space="preserve"> value, R</t>
    </r>
    <r>
      <rPr>
        <vertAlign val="subscript"/>
        <sz val="11"/>
        <rFont val="Arial"/>
        <family val="2"/>
        <charset val="1"/>
      </rPr>
      <t xml:space="preserve">LIM2</t>
    </r>
    <r>
      <rPr>
        <sz val="11"/>
        <rFont val="Arial"/>
        <family val="2"/>
        <charset val="1"/>
      </rPr>
      <t xml:space="preserve"> =</t>
    </r>
  </si>
  <si>
    <r>
      <rPr>
        <sz val="11"/>
        <rFont val="Arial"/>
        <family val="2"/>
        <charset val="1"/>
      </rPr>
      <t xml:space="preserve">Choose closest standard value 
but lower than R</t>
    </r>
    <r>
      <rPr>
        <vertAlign val="subscript"/>
        <sz val="11"/>
        <rFont val="Arial"/>
        <family val="2"/>
        <charset val="1"/>
      </rPr>
      <t xml:space="preserve">LIM2(MAX)</t>
    </r>
    <r>
      <rPr>
        <sz val="11"/>
        <rFont val="Arial"/>
        <family val="2"/>
        <charset val="1"/>
      </rPr>
      <t xml:space="preserve">. Note (3).</t>
    </r>
  </si>
  <si>
    <r>
      <rPr>
        <sz val="11"/>
        <rFont val="Arial"/>
        <family val="2"/>
        <charset val="1"/>
      </rPr>
      <t xml:space="preserve">Power loss rating of R</t>
    </r>
    <r>
      <rPr>
        <vertAlign val="subscript"/>
        <sz val="11"/>
        <rFont val="Arial"/>
        <family val="2"/>
        <charset val="1"/>
      </rPr>
      <t xml:space="preserve">LIM2</t>
    </r>
    <r>
      <rPr>
        <sz val="11"/>
        <rFont val="Arial"/>
        <family val="2"/>
        <charset val="1"/>
      </rPr>
      <t xml:space="preserve"> =</t>
    </r>
  </si>
  <si>
    <r>
      <rPr>
        <sz val="11"/>
        <rFont val="Arial"/>
        <family val="2"/>
        <charset val="1"/>
      </rPr>
      <t xml:space="preserve">&lt; Max. power limit of R</t>
    </r>
    <r>
      <rPr>
        <vertAlign val="subscript"/>
        <sz val="11"/>
        <rFont val="Arial"/>
        <family val="2"/>
        <charset val="1"/>
      </rPr>
      <t xml:space="preserve">LIM2</t>
    </r>
  </si>
  <si>
    <t xml:space="preserve">OTHER RECOMMENDED COMPONENT VALUE</t>
  </si>
  <si>
    <r>
      <rPr>
        <sz val="11"/>
        <rFont val="Arial"/>
        <family val="2"/>
        <charset val="1"/>
      </rPr>
      <t xml:space="preserve">Filter capacitor between FBVDD and VEE, C</t>
    </r>
    <r>
      <rPr>
        <vertAlign val="subscript"/>
        <sz val="11"/>
        <rFont val="Arial"/>
        <family val="2"/>
        <charset val="1"/>
      </rPr>
      <t xml:space="preserve">FBVDD</t>
    </r>
    <r>
      <rPr>
        <sz val="11"/>
        <rFont val="Arial"/>
        <family val="2"/>
        <charset val="1"/>
      </rPr>
      <t xml:space="preserve"> =</t>
    </r>
  </si>
  <si>
    <t xml:space="preserve">pF</t>
  </si>
  <si>
    <t xml:space="preserve">Place close to UCC1414x-Q1.</t>
  </si>
  <si>
    <r>
      <rPr>
        <sz val="11"/>
        <rFont val="Arial"/>
        <family val="2"/>
        <charset val="1"/>
      </rPr>
      <t xml:space="preserve">Filter capacitor between FBVEE and VEE, C</t>
    </r>
    <r>
      <rPr>
        <vertAlign val="subscript"/>
        <sz val="11"/>
        <rFont val="Arial"/>
        <family val="2"/>
        <charset val="1"/>
      </rPr>
      <t xml:space="preserve">FBVEE</t>
    </r>
    <r>
      <rPr>
        <sz val="11"/>
        <rFont val="Arial"/>
        <family val="2"/>
        <charset val="1"/>
      </rPr>
      <t xml:space="preserve"> =</t>
    </r>
  </si>
  <si>
    <r>
      <rPr>
        <sz val="11"/>
        <rFont val="Arial"/>
        <family val="2"/>
        <charset val="1"/>
      </rPr>
      <t xml:space="preserve">Decoupling capacitor between VDD and VEE, C</t>
    </r>
    <r>
      <rPr>
        <vertAlign val="subscript"/>
        <sz val="11"/>
        <rFont val="Arial"/>
        <family val="2"/>
        <charset val="1"/>
      </rPr>
      <t xml:space="preserve">OUT1</t>
    </r>
    <r>
      <rPr>
        <sz val="11"/>
        <rFont val="Arial"/>
        <family val="2"/>
        <charset val="1"/>
      </rPr>
      <t xml:space="preserve"> =</t>
    </r>
  </si>
  <si>
    <t xml:space="preserve">10 // 0.1</t>
  </si>
  <si>
    <r>
      <rPr>
        <sz val="11"/>
        <rFont val="Arial"/>
        <family val="2"/>
        <charset val="1"/>
      </rPr>
      <t xml:space="preserve">Decoupling capacitor between VIN and GNDP, C</t>
    </r>
    <r>
      <rPr>
        <vertAlign val="subscript"/>
        <sz val="11"/>
        <rFont val="Arial"/>
        <family val="2"/>
        <charset val="1"/>
      </rPr>
      <t xml:space="preserve">IN</t>
    </r>
    <r>
      <rPr>
        <sz val="11"/>
        <rFont val="Arial"/>
        <family val="2"/>
        <charset val="1"/>
      </rPr>
      <t xml:space="preserve"> =</t>
    </r>
  </si>
  <si>
    <t xml:space="preserve">20 // 0.1</t>
  </si>
  <si>
    <t xml:space="preserve">Note (1): Achieve the minimum required capacitance, careful attention should be paid to the applied DC voltage vs. capacitor rated working voltage, temperature, tolerance and dielectric type.</t>
  </si>
  <si>
    <t xml:space="preserve">Note (2): The maximum recommended average power SOA area at each Vin is determined by the lower value of the 1.5W limit (dotted line) and the corresponding thermal derating curve (solid line) at that input voltage. The part is not recommeded to operate at an ambient temperature higher than 125 deg C.</t>
  </si>
  <si>
    <r>
      <rPr>
        <sz val="11"/>
        <color theme="1"/>
        <rFont val="Calibri"/>
        <family val="2"/>
        <charset val="136"/>
      </rPr>
      <t xml:space="preserve">Note (3): RLIM regulator efficiency will be impaired if R</t>
    </r>
    <r>
      <rPr>
        <vertAlign val="subscript"/>
        <sz val="11"/>
        <color theme="1"/>
        <rFont val="Calibri"/>
        <family val="2"/>
        <charset val="1"/>
      </rPr>
      <t xml:space="preserve">LIM</t>
    </r>
    <r>
      <rPr>
        <sz val="11"/>
        <color theme="1"/>
        <rFont val="Calibri"/>
        <family val="2"/>
        <charset val="136"/>
      </rPr>
      <t xml:space="preserve"> is chosen much lower than R</t>
    </r>
    <r>
      <rPr>
        <vertAlign val="subscript"/>
        <sz val="11"/>
        <color theme="1"/>
        <rFont val="Calibri"/>
        <family val="2"/>
        <charset val="1"/>
      </rPr>
      <t xml:space="preserve">LIM(MAX).</t>
    </r>
  </si>
  <si>
    <r>
      <rPr>
        <sz val="11"/>
        <color theme="1"/>
        <rFont val="Calibri"/>
        <family val="2"/>
        <charset val="136"/>
      </rPr>
      <t xml:space="preserve">Note (4): Some gate driver datasheets only specify I</t>
    </r>
    <r>
      <rPr>
        <vertAlign val="subscript"/>
        <sz val="11"/>
        <color theme="1"/>
        <rFont val="Calibri"/>
        <family val="2"/>
        <charset val="1"/>
      </rPr>
      <t xml:space="preserve">VDD-to-VEE</t>
    </r>
    <r>
      <rPr>
        <sz val="11"/>
        <color theme="1"/>
        <rFont val="Calibri"/>
        <family val="2"/>
        <charset val="136"/>
      </rPr>
      <t xml:space="preserve">, so user may need to check with gate driver manufacturers for I</t>
    </r>
    <r>
      <rPr>
        <vertAlign val="subscript"/>
        <sz val="11"/>
        <color theme="1"/>
        <rFont val="Calibri"/>
        <family val="2"/>
        <charset val="1"/>
      </rPr>
      <t xml:space="preserve">Q_DRIVER_VDD</t>
    </r>
    <r>
      <rPr>
        <sz val="11"/>
        <color theme="1"/>
        <rFont val="Calibri"/>
        <family val="2"/>
        <charset val="136"/>
      </rPr>
      <t xml:space="preserve"> and I</t>
    </r>
    <r>
      <rPr>
        <vertAlign val="subscript"/>
        <sz val="11"/>
        <color theme="1"/>
        <rFont val="Calibri"/>
        <family val="2"/>
        <charset val="1"/>
      </rPr>
      <t xml:space="preserve">Q_DRIVER_VEE</t>
    </r>
    <r>
      <rPr>
        <sz val="11"/>
        <color theme="1"/>
        <rFont val="Calibri"/>
        <family val="2"/>
        <charset val="136"/>
      </rPr>
      <t xml:space="preserve">. Alternatively, user may directly measure the current w/o switching.</t>
    </r>
  </si>
  <si>
    <r>
      <rPr>
        <b val="true"/>
        <sz val="24"/>
        <color rgb="FFFFFFFF"/>
        <rFont val="Arial"/>
        <family val="2"/>
        <charset val="1"/>
      </rPr>
      <t xml:space="preserve">UCC1434x-Q1 DESIGN CALCULATOR TOOL: SINGLE OUTPUT </t>
    </r>
    <r>
      <rPr>
        <sz val="20"/>
        <color rgb="FFFFFFFF"/>
        <rFont val="Arial"/>
        <family val="2"/>
        <charset val="1"/>
      </rPr>
      <t xml:space="preserve">(Ver. 8)</t>
    </r>
  </si>
  <si>
    <t xml:space="preserve">No gate drive sets as 0µC</t>
  </si>
  <si>
    <t xml:space="preserve">No gate drive sets as 0kHz</t>
  </si>
  <si>
    <r>
      <rPr>
        <sz val="11"/>
        <rFont val="Arial"/>
        <family val="2"/>
        <charset val="1"/>
      </rPr>
      <t xml:space="preserve">Quiescent current of the gate driver from (VDD – VEE), I</t>
    </r>
    <r>
      <rPr>
        <vertAlign val="subscript"/>
        <sz val="11"/>
        <rFont val="Arial"/>
        <family val="2"/>
        <charset val="1"/>
      </rPr>
      <t xml:space="preserve">Q_DRIVER_VDD</t>
    </r>
  </si>
  <si>
    <t xml:space="preserve">No gate drive sets as 0mA</t>
  </si>
  <si>
    <r>
      <rPr>
        <sz val="11"/>
        <rFont val="Arial"/>
        <family val="2"/>
        <charset val="1"/>
      </rPr>
      <t xml:space="preserve">Quiescent current of other load on (VDD – VEE) except gate driver, I</t>
    </r>
    <r>
      <rPr>
        <vertAlign val="subscript"/>
        <sz val="11"/>
        <rFont val="Arial"/>
        <family val="2"/>
        <charset val="1"/>
      </rPr>
      <t xml:space="preserve">Q_OTHER_VDD</t>
    </r>
  </si>
  <si>
    <r>
      <rPr>
        <sz val="11"/>
        <rFont val="Arial"/>
        <family val="2"/>
        <charset val="1"/>
      </rPr>
      <t xml:space="preserve">Total quiescent current from (VDD-VEE), I</t>
    </r>
    <r>
      <rPr>
        <vertAlign val="subscript"/>
        <sz val="11"/>
        <rFont val="Arial"/>
        <family val="2"/>
        <charset val="1"/>
      </rPr>
      <t xml:space="preserve">Q_VDD-VEE</t>
    </r>
  </si>
  <si>
    <r>
      <rPr>
        <sz val="11"/>
        <rFont val="Arial"/>
        <family val="2"/>
        <charset val="1"/>
      </rPr>
      <t xml:space="preserve">Step load transient of other load from (VDD – VEE), I</t>
    </r>
    <r>
      <rPr>
        <vertAlign val="subscript"/>
        <sz val="11"/>
        <rFont val="Arial"/>
        <family val="2"/>
        <charset val="1"/>
      </rPr>
      <t xml:space="preserve">STEP</t>
    </r>
    <r>
      <rPr>
        <sz val="11"/>
        <rFont val="Arial"/>
        <family val="2"/>
        <charset val="1"/>
      </rPr>
      <t xml:space="preserve"> =</t>
    </r>
  </si>
  <si>
    <t xml:space="preserve">No step load sets as 0A</t>
  </si>
  <si>
    <t xml:space="preserve">Refer to the Maximum Recommended 
Average Power Area in SOA figure. Note(2).</t>
  </si>
  <si>
    <r>
      <rPr>
        <sz val="11"/>
        <rFont val="Arial"/>
        <family val="2"/>
        <charset val="1"/>
      </rPr>
      <t xml:space="preserve">Total output power requirement, P</t>
    </r>
    <r>
      <rPr>
        <vertAlign val="subscript"/>
        <sz val="11"/>
        <rFont val="Arial"/>
        <family val="2"/>
        <charset val="1"/>
      </rPr>
      <t xml:space="preserve">O</t>
    </r>
    <r>
      <rPr>
        <sz val="11"/>
        <rFont val="Arial"/>
        <family val="2"/>
        <charset val="1"/>
      </rPr>
      <t xml:space="preserve"> =</t>
    </r>
  </si>
  <si>
    <r>
      <rPr>
        <sz val="11"/>
        <rFont val="Arial"/>
        <family val="2"/>
        <charset val="1"/>
      </rPr>
      <t xml:space="preserve">Desired AC ripple percentage between VDD and VEE, %V</t>
    </r>
    <r>
      <rPr>
        <vertAlign val="subscript"/>
        <sz val="11"/>
        <rFont val="Arial"/>
        <family val="2"/>
        <charset val="1"/>
      </rPr>
      <t xml:space="preserve">PP_MAX</t>
    </r>
  </si>
  <si>
    <t xml:space="preserve">Respect to VDD-VEE</t>
  </si>
  <si>
    <r>
      <rPr>
        <sz val="11"/>
        <rFont val="Arial"/>
        <family val="2"/>
        <charset val="1"/>
      </rPr>
      <t xml:space="preserve">Min. energy-storage capacitance between VDD and VEE, C</t>
    </r>
    <r>
      <rPr>
        <vertAlign val="subscript"/>
        <sz val="11"/>
        <rFont val="Arial"/>
        <family val="2"/>
        <charset val="1"/>
      </rPr>
      <t xml:space="preserve">OUT2(MIN)</t>
    </r>
  </si>
  <si>
    <t xml:space="preserve">Based on above parameters</t>
  </si>
  <si>
    <r>
      <rPr>
        <sz val="11"/>
        <rFont val="Arial"/>
        <family val="2"/>
        <charset val="1"/>
      </rPr>
      <t xml:space="preserve">Selected energy-storage capacitance between VDD and VEE, C</t>
    </r>
    <r>
      <rPr>
        <vertAlign val="subscript"/>
        <sz val="11"/>
        <rFont val="Arial"/>
        <family val="2"/>
        <charset val="1"/>
      </rPr>
      <t xml:space="preserve">OUT2</t>
    </r>
  </si>
  <si>
    <r>
      <rPr>
        <sz val="11"/>
        <rFont val="Arial"/>
        <family val="2"/>
        <charset val="1"/>
      </rPr>
      <t xml:space="preserve">Choose </t>
    </r>
    <r>
      <rPr>
        <sz val="11"/>
        <rFont val="Calibri"/>
        <family val="2"/>
        <charset val="1"/>
      </rPr>
      <t xml:space="preserve">≥</t>
    </r>
    <r>
      <rPr>
        <sz val="11"/>
        <rFont val="Arial"/>
        <family val="2"/>
        <charset val="1"/>
      </rPr>
      <t xml:space="preserve"> C</t>
    </r>
    <r>
      <rPr>
        <vertAlign val="subscript"/>
        <sz val="11"/>
        <rFont val="Arial"/>
        <family val="2"/>
        <charset val="1"/>
      </rPr>
      <t xml:space="preserve">OUT2(MIN)</t>
    </r>
    <r>
      <rPr>
        <sz val="11"/>
        <rFont val="Arial"/>
        <family val="2"/>
        <charset val="1"/>
      </rPr>
      <t xml:space="preserve">. 
Place close to gate driver. Note (1)</t>
    </r>
  </si>
  <si>
    <r>
      <rPr>
        <sz val="11"/>
        <rFont val="Arial"/>
        <family val="2"/>
        <charset val="1"/>
      </rPr>
      <t xml:space="preserve">Min. R</t>
    </r>
    <r>
      <rPr>
        <vertAlign val="subscript"/>
        <sz val="11"/>
        <rFont val="Arial"/>
        <family val="2"/>
        <charset val="1"/>
      </rPr>
      <t xml:space="preserve">LIM</t>
    </r>
    <r>
      <rPr>
        <sz val="11"/>
        <rFont val="Arial"/>
        <family val="2"/>
        <charset val="1"/>
      </rPr>
      <t xml:space="preserve"> resistance, R</t>
    </r>
    <r>
      <rPr>
        <vertAlign val="subscript"/>
        <sz val="11"/>
        <rFont val="Arial"/>
        <family val="2"/>
        <charset val="1"/>
      </rPr>
      <t xml:space="preserve">LIM(MIN)</t>
    </r>
    <r>
      <rPr>
        <sz val="11"/>
        <rFont val="Arial"/>
        <family val="2"/>
        <charset val="1"/>
      </rPr>
      <t xml:space="preserve"> =</t>
    </r>
  </si>
  <si>
    <t xml:space="preserve">Optional</t>
  </si>
  <si>
    <t xml:space="preserve">Cinn</t>
  </si>
  <si>
    <t xml:space="preserve">20uF</t>
  </si>
  <si>
    <t xml:space="preserve">100nF</t>
  </si>
  <si>
    <t xml:space="preserve">Cout1</t>
  </si>
  <si>
    <t xml:space="preserve">10uF</t>
  </si>
  <si>
    <t xml:space="preserve">Cout1b</t>
  </si>
  <si>
    <t xml:space="preserve">Cout2</t>
  </si>
  <si>
    <t xml:space="preserve">4,7uF</t>
  </si>
  <si>
    <t xml:space="preserve">Cout3</t>
  </si>
  <si>
    <t xml:space="preserve">12uF</t>
  </si>
  <si>
    <t xml:space="preserve">Rlim1</t>
  </si>
  <si>
    <t xml:space="preserve">2k</t>
  </si>
  <si>
    <t xml:space="preserve">Rlim2</t>
  </si>
  <si>
    <t xml:space="preserve">6k8</t>
  </si>
  <si>
    <t xml:space="preserve">CFB VDD</t>
  </si>
  <si>
    <t xml:space="preserve">330pF</t>
  </si>
  <si>
    <t xml:space="preserve">CFB VEE</t>
  </si>
  <si>
    <t xml:space="preserve">RFBVEE COM</t>
  </si>
  <si>
    <t xml:space="preserve">60k</t>
  </si>
  <si>
    <t xml:space="preserve">RFBVEE VEE</t>
  </si>
  <si>
    <t xml:space="preserve">20k</t>
  </si>
  <si>
    <t xml:space="preserve">RFBVDDVDD</t>
  </si>
  <si>
    <t xml:space="preserve">90k</t>
  </si>
  <si>
    <t xml:space="preserve">RFBVDDVEE</t>
  </si>
  <si>
    <t xml:space="preserve">10k</t>
  </si>
  <si>
    <t xml:space="preserve">Diodo</t>
  </si>
  <si>
    <t xml:space="preserve">1n4148</t>
  </si>
</sst>
</file>

<file path=xl/styles.xml><?xml version="1.0" encoding="utf-8"?>
<styleSheet xmlns="http://schemas.openxmlformats.org/spreadsheetml/2006/main">
  <numFmts count="6">
    <numFmt numFmtId="164" formatCode="General"/>
    <numFmt numFmtId="165" formatCode="0.00"/>
    <numFmt numFmtId="166" formatCode="0.0"/>
    <numFmt numFmtId="167" formatCode="0.000"/>
    <numFmt numFmtId="168" formatCode="0.00000"/>
    <numFmt numFmtId="169" formatCode="0.000000"/>
  </numFmts>
  <fonts count="34">
    <font>
      <sz val="11"/>
      <color theme="1"/>
      <name val="Calibri"/>
      <family val="2"/>
      <charset val="1"/>
    </font>
    <font>
      <sz val="10"/>
      <name val="Arial"/>
      <family val="0"/>
    </font>
    <font>
      <sz val="10"/>
      <name val="Arial"/>
      <family val="0"/>
    </font>
    <font>
      <sz val="10"/>
      <name val="Arial"/>
      <family val="0"/>
    </font>
    <font>
      <sz val="11"/>
      <color theme="1"/>
      <name val="Calibri"/>
      <family val="2"/>
      <charset val="136"/>
    </font>
    <font>
      <b val="true"/>
      <sz val="24"/>
      <color rgb="FFFFFFFF"/>
      <name val="Arial"/>
      <family val="2"/>
      <charset val="1"/>
    </font>
    <font>
      <sz val="20"/>
      <color rgb="FFFFFFFF"/>
      <name val="Arial"/>
      <family val="2"/>
      <charset val="1"/>
    </font>
    <font>
      <b val="true"/>
      <sz val="12"/>
      <name val="Arial"/>
      <family val="2"/>
      <charset val="1"/>
    </font>
    <font>
      <sz val="11"/>
      <color theme="1"/>
      <name val="Arial"/>
      <family val="2"/>
      <charset val="1"/>
    </font>
    <font>
      <sz val="11"/>
      <color theme="0"/>
      <name val="Calibri"/>
      <family val="2"/>
      <charset val="136"/>
    </font>
    <font>
      <b val="true"/>
      <sz val="16"/>
      <color theme="1"/>
      <name val="Arial"/>
      <family val="2"/>
      <charset val="1"/>
    </font>
    <font>
      <b val="true"/>
      <sz val="14"/>
      <color rgb="FF0000FF"/>
      <name val="Arial"/>
      <family val="2"/>
      <charset val="1"/>
    </font>
    <font>
      <b val="true"/>
      <sz val="14"/>
      <color theme="1"/>
      <name val="Arial"/>
      <family val="2"/>
      <charset val="1"/>
    </font>
    <font>
      <b val="true"/>
      <sz val="14"/>
      <color rgb="FF92D050"/>
      <name val="Arial"/>
      <family val="2"/>
      <charset val="1"/>
    </font>
    <font>
      <b val="true"/>
      <sz val="14"/>
      <color rgb="FFFF0000"/>
      <name val="Arial"/>
      <family val="2"/>
      <charset val="1"/>
    </font>
    <font>
      <sz val="11"/>
      <name val="Arial"/>
      <family val="2"/>
      <charset val="1"/>
    </font>
    <font>
      <sz val="11"/>
      <color rgb="FFFF00FF"/>
      <name val="Arial"/>
      <family val="2"/>
      <charset val="1"/>
    </font>
    <font>
      <b val="true"/>
      <i val="true"/>
      <sz val="16"/>
      <name val="Arial"/>
      <family val="2"/>
      <charset val="1"/>
    </font>
    <font>
      <b val="true"/>
      <sz val="11"/>
      <name val="Arial"/>
      <family val="2"/>
      <charset val="1"/>
    </font>
    <font>
      <vertAlign val="subscript"/>
      <sz val="11"/>
      <name val="Arial"/>
      <family val="2"/>
      <charset val="1"/>
    </font>
    <font>
      <vertAlign val="subscript"/>
      <sz val="11"/>
      <color theme="1"/>
      <name val="Calibri"/>
      <family val="2"/>
      <charset val="1"/>
    </font>
    <font>
      <sz val="11"/>
      <name val="Calibri"/>
      <family val="2"/>
      <charset val="136"/>
    </font>
    <font>
      <vertAlign val="superscript"/>
      <sz val="11"/>
      <name val="Arial"/>
      <family val="2"/>
      <charset val="1"/>
    </font>
    <font>
      <b val="true"/>
      <i val="true"/>
      <sz val="11"/>
      <color rgb="FFFF0000"/>
      <name val="Arial"/>
      <family val="2"/>
      <charset val="1"/>
    </font>
    <font>
      <b val="true"/>
      <i val="true"/>
      <sz val="16"/>
      <color theme="1"/>
      <name val="Arial"/>
      <family val="2"/>
      <charset val="1"/>
    </font>
    <font>
      <b val="true"/>
      <i val="true"/>
      <sz val="14"/>
      <name val="Arial"/>
      <family val="2"/>
      <charset val="1"/>
    </font>
    <font>
      <b val="true"/>
      <i val="true"/>
      <vertAlign val="subscript"/>
      <sz val="14"/>
      <name val="Arial"/>
      <family val="2"/>
      <charset val="1"/>
    </font>
    <font>
      <vertAlign val="subscript"/>
      <sz val="11"/>
      <color theme="1"/>
      <name val="Arial"/>
      <family val="2"/>
      <charset val="1"/>
    </font>
    <font>
      <b val="true"/>
      <sz val="11"/>
      <color theme="1"/>
      <name val="Arial"/>
      <family val="2"/>
      <charset val="1"/>
    </font>
    <font>
      <sz val="11"/>
      <name val="Calibri"/>
      <family val="2"/>
      <charset val="1"/>
    </font>
    <font>
      <sz val="14"/>
      <color theme="1"/>
      <name val="Calibri"/>
      <family val="2"/>
      <charset val="136"/>
    </font>
    <font>
      <b val="true"/>
      <sz val="11"/>
      <color theme="1"/>
      <name val="Calibri"/>
      <family val="2"/>
      <charset val="1"/>
    </font>
    <font>
      <b val="true"/>
      <sz val="11"/>
      <color rgb="FFFF0000"/>
      <name val="Calibri"/>
      <family val="2"/>
      <charset val="1"/>
    </font>
    <font>
      <sz val="12"/>
      <color theme="1"/>
      <name val="Arial"/>
      <family val="2"/>
      <charset val="1"/>
    </font>
  </fonts>
  <fills count="7">
    <fill>
      <patternFill patternType="none"/>
    </fill>
    <fill>
      <patternFill patternType="gray125"/>
    </fill>
    <fill>
      <patternFill patternType="solid">
        <fgColor rgb="FFFF0000"/>
        <bgColor rgb="FF993300"/>
      </patternFill>
    </fill>
    <fill>
      <patternFill patternType="solid">
        <fgColor theme="0"/>
        <bgColor rgb="FFF2F2F2"/>
      </patternFill>
    </fill>
    <fill>
      <patternFill patternType="solid">
        <fgColor rgb="FFFFFF00"/>
        <bgColor rgb="FFFFFF00"/>
      </patternFill>
    </fill>
    <fill>
      <patternFill patternType="solid">
        <fgColor rgb="FF92D050"/>
        <bgColor rgb="FFC0C0C0"/>
      </patternFill>
    </fill>
    <fill>
      <patternFill patternType="solid">
        <fgColor theme="0" tint="-0.05"/>
        <bgColor rgb="FFFFFFFF"/>
      </patternFill>
    </fill>
  </fills>
  <borders count="40">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medium"/>
      <right style="medium"/>
      <top/>
      <bottom/>
      <diagonal/>
    </border>
    <border diagonalUp="false" diagonalDown="false">
      <left style="medium"/>
      <right style="medium"/>
      <top style="medium"/>
      <bottom style="mediu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medium"/>
      <top style="medium"/>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thin"/>
      <top/>
      <bottom/>
      <diagonal/>
    </border>
    <border diagonalUp="false" diagonalDown="false">
      <left style="thin"/>
      <right/>
      <top/>
      <bottom/>
      <diagonal/>
    </border>
    <border diagonalUp="false" diagonalDown="false">
      <left style="thin"/>
      <right style="medium"/>
      <top/>
      <bottom/>
      <diagonal/>
    </border>
    <border diagonalUp="false" diagonalDown="false">
      <left style="medium"/>
      <right style="thin"/>
      <top/>
      <bottom style="medium"/>
      <diagonal/>
    </border>
    <border diagonalUp="false" diagonalDown="false">
      <left style="thin"/>
      <right/>
      <top/>
      <bottom style="mediu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medium"/>
      <right style="medium"/>
      <top style="medium"/>
      <bottom style="thin"/>
      <diagonal/>
    </border>
    <border diagonalUp="false" diagonalDown="false">
      <left/>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style="thin"/>
      <top style="medium"/>
      <bottom style="thin"/>
      <diagonal/>
    </border>
    <border diagonalUp="false" diagonalDown="false">
      <left/>
      <right style="thin"/>
      <top style="medium"/>
      <bottom style="thin"/>
      <diagonal/>
    </border>
    <border diagonalUp="false" diagonalDown="false">
      <left style="thin"/>
      <right/>
      <top style="medium"/>
      <bottom style="thin"/>
      <diagonal/>
    </border>
    <border diagonalUp="false" diagonalDown="false">
      <left style="thin"/>
      <right style="medium"/>
      <top style="medium"/>
      <bottom style="medium"/>
      <diagonal/>
    </border>
    <border diagonalUp="false" diagonalDown="false">
      <left/>
      <right style="thin"/>
      <top/>
      <bottom style="medium"/>
      <diagonal/>
    </border>
    <border diagonalUp="false" diagonalDown="false">
      <left/>
      <right style="medium"/>
      <top style="thin"/>
      <bottom style="thin"/>
      <diagonal/>
    </border>
    <border diagonalUp="false" diagonalDown="false">
      <left/>
      <right style="medium"/>
      <top style="thin"/>
      <bottom/>
      <diagonal/>
    </border>
    <border diagonalUp="false" diagonalDown="false">
      <left/>
      <right style="medium"/>
      <top style="thin"/>
      <bottom style="medium"/>
      <diagonal/>
    </border>
    <border diagonalUp="false" diagonalDown="false">
      <left style="medium"/>
      <right style="thin"/>
      <top style="medium"/>
      <bottom style="medium"/>
      <diagonal/>
    </border>
    <border diagonalUp="false" diagonalDown="false">
      <left/>
      <right style="thin"/>
      <top style="medium"/>
      <bottom style="medium"/>
      <diagonal/>
    </border>
    <border diagonalUp="false" diagonalDown="false">
      <left style="thin"/>
      <right/>
      <top style="medium"/>
      <bottom style="medium"/>
      <diagonal/>
    </border>
    <border diagonalUp="false" diagonalDown="false">
      <left/>
      <right style="medium"/>
      <top style="medium"/>
      <bottom style="medium"/>
      <diagonal/>
    </border>
    <border diagonalUp="false" diagonalDown="false">
      <left/>
      <right style="medium"/>
      <top style="medium"/>
      <bottom style="thin"/>
      <diagonal/>
    </border>
    <border diagonalUp="false" diagonalDown="false">
      <left/>
      <right style="medium"/>
      <top/>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true" applyProtection="true">
      <alignment horizontal="general" vertical="center" textRotation="0" wrapText="false" indent="0" shrinkToFit="false"/>
      <protection locked="true" hidden="false"/>
    </xf>
    <xf numFmtId="165" fontId="4" fillId="0" borderId="0" xfId="20" applyFont="true" applyBorder="false" applyAlignment="true" applyProtection="true">
      <alignment horizontal="general" vertical="center" textRotation="0" wrapText="false" indent="0" shrinkToFit="false"/>
      <protection locked="true" hidden="false"/>
    </xf>
    <xf numFmtId="164" fontId="4" fillId="0" borderId="0" xfId="20" applyFont="true" applyBorder="false" applyAlignment="true" applyProtection="true">
      <alignment horizontal="general" vertical="center" textRotation="0" wrapText="false" indent="0" shrinkToFit="false"/>
      <protection locked="false" hidden="false"/>
    </xf>
    <xf numFmtId="164" fontId="5" fillId="2" borderId="0" xfId="21" applyFont="true" applyBorder="true" applyAlignment="true" applyProtection="true">
      <alignment horizontal="center" vertical="center" textRotation="0" wrapText="true" indent="0" shrinkToFit="false"/>
      <protection locked="false" hidden="false"/>
    </xf>
    <xf numFmtId="165" fontId="4" fillId="0" borderId="0" xfId="20" applyFont="true" applyBorder="false" applyAlignment="true" applyProtection="true">
      <alignment horizontal="general" vertical="center" textRotation="0" wrapText="false" indent="0" shrinkToFit="false"/>
      <protection locked="false" hidden="false"/>
    </xf>
    <xf numFmtId="164" fontId="7" fillId="3" borderId="1" xfId="21" applyFont="true" applyBorder="true" applyAlignment="true" applyProtection="true">
      <alignment horizontal="left" vertical="center" textRotation="0" wrapText="false" indent="0" shrinkToFit="false"/>
      <protection locked="false" hidden="false"/>
    </xf>
    <xf numFmtId="164" fontId="8" fillId="3" borderId="2" xfId="21" applyFont="true" applyBorder="true" applyAlignment="true" applyProtection="true">
      <alignment horizontal="center" vertical="center" textRotation="0" wrapText="true" indent="0" shrinkToFit="false"/>
      <protection locked="false" hidden="false"/>
    </xf>
    <xf numFmtId="164" fontId="4" fillId="3" borderId="0" xfId="20" applyFont="true" applyBorder="false" applyAlignment="true" applyProtection="true">
      <alignment horizontal="general" vertical="center" textRotation="0" wrapText="false" indent="0" shrinkToFit="false"/>
      <protection locked="false" hidden="false"/>
    </xf>
    <xf numFmtId="164" fontId="9" fillId="0" borderId="0" xfId="20" applyFont="true" applyBorder="false" applyAlignment="true" applyProtection="true">
      <alignment horizontal="general" vertical="center" textRotation="0" wrapText="false" indent="0" shrinkToFit="false"/>
      <protection locked="false" hidden="false"/>
    </xf>
    <xf numFmtId="164" fontId="10" fillId="3" borderId="1" xfId="21" applyFont="true" applyBorder="true" applyAlignment="true" applyProtection="true">
      <alignment horizontal="center" vertical="center" textRotation="0" wrapText="true" indent="0" shrinkToFit="false"/>
      <protection locked="false" hidden="false"/>
    </xf>
    <xf numFmtId="164" fontId="11" fillId="3" borderId="3" xfId="21" applyFont="true" applyBorder="true" applyAlignment="true" applyProtection="true">
      <alignment horizontal="center" vertical="center" textRotation="0" wrapText="false" indent="0" shrinkToFit="false"/>
      <protection locked="false" hidden="false"/>
    </xf>
    <xf numFmtId="164" fontId="12" fillId="3" borderId="2" xfId="21" applyFont="true" applyBorder="true" applyAlignment="true" applyProtection="true">
      <alignment horizontal="center" vertical="center" textRotation="0" wrapText="false" indent="0" shrinkToFit="false"/>
      <protection locked="false" hidden="false"/>
    </xf>
    <xf numFmtId="164" fontId="15" fillId="3" borderId="4" xfId="21" applyFont="true" applyBorder="true" applyAlignment="true" applyProtection="true">
      <alignment horizontal="center" vertical="center" textRotation="0" wrapText="true" indent="0" shrinkToFit="false"/>
      <protection locked="false" hidden="false"/>
    </xf>
    <xf numFmtId="164" fontId="17" fillId="4" borderId="4" xfId="21" applyFont="true" applyBorder="true" applyAlignment="true" applyProtection="true">
      <alignment horizontal="center" vertical="center" textRotation="0" wrapText="false" indent="0" shrinkToFit="false"/>
      <protection locked="false" hidden="false"/>
    </xf>
    <xf numFmtId="164" fontId="15" fillId="3" borderId="5" xfId="21" applyFont="true" applyBorder="true" applyAlignment="true" applyProtection="true">
      <alignment horizontal="general" vertical="center" textRotation="0" wrapText="false" indent="0" shrinkToFit="false"/>
      <protection locked="false" hidden="false"/>
    </xf>
    <xf numFmtId="166" fontId="18" fillId="5" borderId="6" xfId="21" applyFont="true" applyBorder="true" applyAlignment="true" applyProtection="true">
      <alignment horizontal="center" vertical="center" textRotation="0" wrapText="false" indent="0" shrinkToFit="false"/>
      <protection locked="false" hidden="false"/>
    </xf>
    <xf numFmtId="164" fontId="15" fillId="3" borderId="7" xfId="21" applyFont="true" applyBorder="true" applyAlignment="true" applyProtection="true">
      <alignment horizontal="general" vertical="center" textRotation="0" wrapText="false" indent="0" shrinkToFit="false"/>
      <protection locked="false" hidden="false"/>
    </xf>
    <xf numFmtId="164" fontId="15" fillId="3" borderId="8" xfId="21" applyFont="true" applyBorder="true" applyAlignment="true" applyProtection="true">
      <alignment horizontal="left" vertical="center" textRotation="0" wrapText="true" indent="0" shrinkToFit="false"/>
      <protection locked="false" hidden="false"/>
    </xf>
    <xf numFmtId="164" fontId="0" fillId="0" borderId="0" xfId="20" applyFont="true" applyBorder="false" applyAlignment="true" applyProtection="true">
      <alignment horizontal="general" vertical="center" textRotation="0" wrapText="false" indent="0" shrinkToFit="false"/>
      <protection locked="true" hidden="false"/>
    </xf>
    <xf numFmtId="164" fontId="15" fillId="3" borderId="5" xfId="21" applyFont="true" applyBorder="true" applyAlignment="true" applyProtection="true">
      <alignment horizontal="general" vertical="center" textRotation="0" wrapText="false" indent="0" shrinkToFit="false"/>
      <protection locked="true" hidden="false"/>
    </xf>
    <xf numFmtId="164" fontId="15" fillId="3" borderId="7" xfId="21" applyFont="true" applyBorder="true" applyAlignment="true" applyProtection="true">
      <alignment horizontal="general" vertical="center" textRotation="0" wrapText="false" indent="0" shrinkToFit="false"/>
      <protection locked="true" hidden="false"/>
    </xf>
    <xf numFmtId="164" fontId="15" fillId="3" borderId="9" xfId="21" applyFont="true" applyBorder="true" applyAlignment="true" applyProtection="true">
      <alignment horizontal="left" vertical="center" textRotation="0" wrapText="true" indent="0" shrinkToFit="false"/>
      <protection locked="true" hidden="false"/>
    </xf>
    <xf numFmtId="164" fontId="18" fillId="5" borderId="6" xfId="21" applyFont="true" applyBorder="true" applyAlignment="true" applyProtection="true">
      <alignment horizontal="center" vertical="center" textRotation="0" wrapText="false" indent="0" shrinkToFit="false"/>
      <protection locked="false" hidden="false"/>
    </xf>
    <xf numFmtId="164" fontId="15" fillId="3" borderId="9" xfId="21" applyFont="true" applyBorder="true" applyAlignment="true" applyProtection="true">
      <alignment horizontal="left" vertical="center" textRotation="0" wrapText="false" indent="0" shrinkToFit="false"/>
      <protection locked="false" hidden="false"/>
    </xf>
    <xf numFmtId="164" fontId="15" fillId="3" borderId="10" xfId="21" applyFont="true" applyBorder="true" applyAlignment="true" applyProtection="true">
      <alignment horizontal="general" vertical="center" textRotation="0" wrapText="false" indent="0" shrinkToFit="false"/>
      <protection locked="false" hidden="false"/>
    </xf>
    <xf numFmtId="164" fontId="18" fillId="5" borderId="11" xfId="21" applyFont="true" applyBorder="true" applyAlignment="true" applyProtection="true">
      <alignment horizontal="center" vertical="center" textRotation="0" wrapText="false" indent="0" shrinkToFit="false"/>
      <protection locked="false" hidden="false"/>
    </xf>
    <xf numFmtId="164" fontId="15" fillId="3" borderId="12" xfId="21" applyFont="true" applyBorder="true" applyAlignment="true" applyProtection="true">
      <alignment horizontal="general" vertical="center" textRotation="0" wrapText="false" indent="0" shrinkToFit="false"/>
      <protection locked="false" hidden="false"/>
    </xf>
    <xf numFmtId="164" fontId="15" fillId="3" borderId="13" xfId="21" applyFont="true" applyBorder="true" applyAlignment="true" applyProtection="true">
      <alignment horizontal="left" vertical="center" textRotation="0" wrapText="false" indent="0" shrinkToFit="false"/>
      <protection locked="false" hidden="false"/>
    </xf>
    <xf numFmtId="164" fontId="18" fillId="5" borderId="12" xfId="21" applyFont="true" applyBorder="true" applyAlignment="true" applyProtection="true">
      <alignment horizontal="center" vertical="center" textRotation="0" wrapText="false" indent="0" shrinkToFit="false"/>
      <protection locked="false" hidden="false"/>
    </xf>
    <xf numFmtId="164" fontId="15" fillId="3" borderId="13" xfId="21" applyFont="true" applyBorder="true" applyAlignment="true" applyProtection="true">
      <alignment horizontal="left" vertical="center" textRotation="0" wrapText="true" indent="0" shrinkToFit="false"/>
      <protection locked="false" hidden="false"/>
    </xf>
    <xf numFmtId="164" fontId="15" fillId="0" borderId="10" xfId="21" applyFont="true" applyBorder="true" applyAlignment="true" applyProtection="true">
      <alignment horizontal="general" vertical="center" textRotation="0" wrapText="false" indent="0" shrinkToFit="false"/>
      <protection locked="false" hidden="false"/>
    </xf>
    <xf numFmtId="164" fontId="18" fillId="5" borderId="7" xfId="21" applyFont="true" applyBorder="true" applyAlignment="true" applyProtection="true">
      <alignment horizontal="center" vertical="center" textRotation="0" wrapText="false" indent="0" shrinkToFit="false"/>
      <protection locked="false" hidden="false"/>
    </xf>
    <xf numFmtId="164" fontId="18" fillId="0" borderId="12" xfId="21" applyFont="true" applyBorder="true" applyAlignment="true" applyProtection="true">
      <alignment horizontal="center" vertical="center" textRotation="0" wrapText="false" indent="0" shrinkToFit="false"/>
      <protection locked="true" hidden="false"/>
    </xf>
    <xf numFmtId="164" fontId="15" fillId="3" borderId="10" xfId="21" applyFont="true" applyBorder="true" applyAlignment="true" applyProtection="true">
      <alignment horizontal="general" vertical="center" textRotation="0" wrapText="false" indent="0" shrinkToFit="false"/>
      <protection locked="true" hidden="false"/>
    </xf>
    <xf numFmtId="164" fontId="15" fillId="3" borderId="12" xfId="21" applyFont="true" applyBorder="true" applyAlignment="true" applyProtection="true">
      <alignment horizontal="general" vertical="center" textRotation="0" wrapText="false" indent="0" shrinkToFit="false"/>
      <protection locked="true" hidden="false"/>
    </xf>
    <xf numFmtId="164" fontId="15" fillId="3" borderId="13" xfId="21" applyFont="true" applyBorder="true" applyAlignment="true" applyProtection="true">
      <alignment horizontal="left" vertical="center" textRotation="0" wrapText="false" indent="0" shrinkToFit="false"/>
      <protection locked="true" hidden="false"/>
    </xf>
    <xf numFmtId="164" fontId="15" fillId="0" borderId="10" xfId="21" applyFont="true" applyBorder="true" applyAlignment="true" applyProtection="true">
      <alignment horizontal="general" vertical="center" textRotation="0" wrapText="true" indent="0" shrinkToFit="false"/>
      <protection locked="false" hidden="false"/>
    </xf>
    <xf numFmtId="164" fontId="15" fillId="3" borderId="12" xfId="21" applyFont="true" applyBorder="true" applyAlignment="true" applyProtection="true">
      <alignment horizontal="general" vertical="center" textRotation="0" wrapText="true" indent="0" shrinkToFit="false"/>
      <protection locked="false" hidden="false"/>
    </xf>
    <xf numFmtId="166" fontId="18" fillId="3" borderId="6" xfId="21" applyFont="true" applyBorder="true" applyAlignment="true" applyProtection="true">
      <alignment horizontal="center" vertical="center" textRotation="0" wrapText="false" indent="0" shrinkToFit="false"/>
      <protection locked="true" hidden="false"/>
    </xf>
    <xf numFmtId="164" fontId="15" fillId="3" borderId="9" xfId="21" applyFont="true" applyBorder="true" applyAlignment="true" applyProtection="true">
      <alignment horizontal="left" vertical="center" textRotation="0" wrapText="true" indent="0" shrinkToFit="false"/>
      <protection locked="false" hidden="false"/>
    </xf>
    <xf numFmtId="164" fontId="15" fillId="3" borderId="14" xfId="21" applyFont="true" applyBorder="true" applyAlignment="true" applyProtection="true">
      <alignment horizontal="general" vertical="center" textRotation="0" wrapText="false" indent="0" shrinkToFit="false"/>
      <protection locked="false" hidden="false"/>
    </xf>
    <xf numFmtId="166" fontId="18" fillId="3" borderId="15" xfId="21" applyFont="true" applyBorder="true" applyAlignment="true" applyProtection="true">
      <alignment horizontal="center" vertical="center" textRotation="0" wrapText="false" indent="0" shrinkToFit="false"/>
      <protection locked="true" hidden="false"/>
    </xf>
    <xf numFmtId="164" fontId="15" fillId="3" borderId="16" xfId="21" applyFont="true" applyBorder="true" applyAlignment="true" applyProtection="true">
      <alignment horizontal="general" vertical="center" textRotation="0" wrapText="false" indent="0" shrinkToFit="false"/>
      <protection locked="false" hidden="false"/>
    </xf>
    <xf numFmtId="164" fontId="15" fillId="3" borderId="17" xfId="21" applyFont="true" applyBorder="true" applyAlignment="true" applyProtection="true">
      <alignment horizontal="left" vertical="center" textRotation="0" wrapText="true" indent="0" shrinkToFit="false"/>
      <protection locked="false" hidden="false"/>
    </xf>
    <xf numFmtId="165" fontId="21" fillId="0" borderId="0" xfId="20" applyFont="true" applyBorder="false" applyAlignment="true" applyProtection="true">
      <alignment horizontal="general" vertical="center" textRotation="0" wrapText="false" indent="0" shrinkToFit="false"/>
      <protection locked="false" hidden="false"/>
    </xf>
    <xf numFmtId="164" fontId="18" fillId="3" borderId="7" xfId="21" applyFont="true" applyBorder="true" applyAlignment="true" applyProtection="true">
      <alignment horizontal="center" vertical="center" textRotation="0" wrapText="false" indent="0" shrinkToFit="false"/>
      <protection locked="true" hidden="false"/>
    </xf>
    <xf numFmtId="164" fontId="18" fillId="3" borderId="12" xfId="21" applyFont="true" applyBorder="true" applyAlignment="true" applyProtection="true">
      <alignment horizontal="center" vertical="center" textRotation="0" wrapText="false" indent="0" shrinkToFit="false"/>
      <protection locked="true" hidden="false"/>
    </xf>
    <xf numFmtId="165" fontId="18" fillId="3" borderId="12" xfId="21" applyFont="true" applyBorder="true" applyAlignment="true" applyProtection="true">
      <alignment horizontal="center" vertical="center" textRotation="0" wrapText="false" indent="0" shrinkToFit="false"/>
      <protection locked="true" hidden="false"/>
    </xf>
    <xf numFmtId="165" fontId="18" fillId="5" borderId="6" xfId="21" applyFont="true" applyBorder="true" applyAlignment="true" applyProtection="true">
      <alignment horizontal="center" vertical="center" textRotation="0" wrapText="false" indent="0" shrinkToFit="false"/>
      <protection locked="false" hidden="false"/>
    </xf>
    <xf numFmtId="165" fontId="18" fillId="3" borderId="6" xfId="21" applyFont="true" applyBorder="true" applyAlignment="true" applyProtection="true">
      <alignment horizontal="center" vertical="center" textRotation="0" wrapText="false" indent="0" shrinkToFit="false"/>
      <protection locked="true" hidden="false"/>
    </xf>
    <xf numFmtId="164" fontId="15" fillId="3" borderId="18" xfId="21" applyFont="true" applyBorder="true" applyAlignment="true" applyProtection="true">
      <alignment horizontal="general" vertical="center" textRotation="0" wrapText="false" indent="0" shrinkToFit="false"/>
      <protection locked="false" hidden="false"/>
    </xf>
    <xf numFmtId="165" fontId="18" fillId="3" borderId="19" xfId="21" applyFont="true" applyBorder="true" applyAlignment="true" applyProtection="true">
      <alignment horizontal="center" vertical="center" textRotation="0" wrapText="false" indent="0" shrinkToFit="false"/>
      <protection locked="true" hidden="false"/>
    </xf>
    <xf numFmtId="164" fontId="15" fillId="3" borderId="20" xfId="21" applyFont="true" applyBorder="true" applyAlignment="true" applyProtection="true">
      <alignment horizontal="general" vertical="center" textRotation="0" wrapText="false" indent="0" shrinkToFit="false"/>
      <protection locked="false" hidden="false"/>
    </xf>
    <xf numFmtId="164" fontId="15" fillId="3" borderId="21" xfId="21" applyFont="true" applyBorder="true" applyAlignment="true" applyProtection="true">
      <alignment horizontal="left" vertical="center" textRotation="0" wrapText="false" indent="0" shrinkToFit="false"/>
      <protection locked="false" hidden="false"/>
    </xf>
    <xf numFmtId="164" fontId="8" fillId="3" borderId="0" xfId="21" applyFont="true" applyBorder="true" applyAlignment="true" applyProtection="true">
      <alignment horizontal="general" vertical="center" textRotation="0" wrapText="false" indent="0" shrinkToFit="false"/>
      <protection locked="false" hidden="false"/>
    </xf>
    <xf numFmtId="164" fontId="23" fillId="3" borderId="0" xfId="21" applyFont="true" applyBorder="true" applyAlignment="true" applyProtection="true">
      <alignment horizontal="left" vertical="center" textRotation="0" wrapText="true" indent="0" shrinkToFit="false"/>
      <protection locked="false" hidden="false"/>
    </xf>
    <xf numFmtId="164" fontId="24" fillId="4" borderId="4" xfId="21" applyFont="true" applyBorder="true" applyAlignment="true" applyProtection="true">
      <alignment horizontal="center" vertical="center" textRotation="0" wrapText="false" indent="0" shrinkToFit="false"/>
      <protection locked="false" hidden="false"/>
    </xf>
    <xf numFmtId="164" fontId="25" fillId="6" borderId="22" xfId="21" applyFont="true" applyBorder="true" applyAlignment="true" applyProtection="true">
      <alignment horizontal="left" vertical="center" textRotation="0" wrapText="false" indent="0" shrinkToFit="false"/>
      <protection locked="false" hidden="false"/>
    </xf>
    <xf numFmtId="164" fontId="18" fillId="3" borderId="23" xfId="21" applyFont="true" applyBorder="true" applyAlignment="true" applyProtection="true">
      <alignment horizontal="center" vertical="center" textRotation="0" wrapText="false" indent="0" shrinkToFit="false"/>
      <protection locked="true" hidden="false"/>
    </xf>
    <xf numFmtId="165" fontId="18" fillId="3" borderId="23" xfId="21" applyFont="true" applyBorder="true" applyAlignment="true" applyProtection="true">
      <alignment horizontal="center" vertical="center" textRotation="0" wrapText="false" indent="0" shrinkToFit="false"/>
      <protection locked="true" hidden="false"/>
    </xf>
    <xf numFmtId="167" fontId="18" fillId="0" borderId="12" xfId="21" applyFont="true" applyBorder="true" applyAlignment="true" applyProtection="true">
      <alignment horizontal="center" vertical="center" textRotation="0" wrapText="false" indent="0" shrinkToFit="false"/>
      <protection locked="true" hidden="false"/>
    </xf>
    <xf numFmtId="166" fontId="18" fillId="5" borderId="12" xfId="21" applyFont="true" applyBorder="true" applyAlignment="true" applyProtection="true">
      <alignment horizontal="center" vertical="center" textRotation="0" wrapText="false" indent="0" shrinkToFit="false"/>
      <protection locked="false" hidden="false"/>
    </xf>
    <xf numFmtId="164" fontId="15" fillId="3" borderId="10" xfId="21" applyFont="true" applyBorder="true" applyAlignment="true" applyProtection="true">
      <alignment horizontal="general" vertical="center" textRotation="0" wrapText="true" indent="0" shrinkToFit="false"/>
      <protection locked="false" hidden="false"/>
    </xf>
    <xf numFmtId="166" fontId="18" fillId="3" borderId="23" xfId="21" applyFont="true" applyBorder="true" applyAlignment="true" applyProtection="true">
      <alignment horizontal="center" vertical="center" textRotation="0" wrapText="false" indent="0" shrinkToFit="false"/>
      <protection locked="true" hidden="false"/>
    </xf>
    <xf numFmtId="164" fontId="15" fillId="3" borderId="24" xfId="21" applyFont="true" applyBorder="true" applyAlignment="true" applyProtection="true">
      <alignment horizontal="general" vertical="center" textRotation="0" wrapText="false" indent="0" shrinkToFit="false"/>
      <protection locked="false" hidden="false"/>
    </xf>
    <xf numFmtId="166" fontId="18" fillId="5" borderId="25" xfId="21" applyFont="true" applyBorder="true" applyAlignment="true" applyProtection="true">
      <alignment horizontal="center" vertical="center" textRotation="0" wrapText="false" indent="0" shrinkToFit="false"/>
      <protection locked="false" hidden="false"/>
    </xf>
    <xf numFmtId="164" fontId="15" fillId="3" borderId="21" xfId="21" applyFont="true" applyBorder="true" applyAlignment="true" applyProtection="true">
      <alignment horizontal="left" vertical="center" textRotation="0" wrapText="true" indent="0" shrinkToFit="false"/>
      <protection locked="false" hidden="false"/>
    </xf>
    <xf numFmtId="166" fontId="18" fillId="0" borderId="6" xfId="21" applyFont="true" applyBorder="true" applyAlignment="true" applyProtection="true">
      <alignment horizontal="center" vertical="center" textRotation="0" wrapText="false" indent="0" shrinkToFit="false"/>
      <protection locked="true" hidden="false"/>
    </xf>
    <xf numFmtId="164" fontId="15" fillId="3" borderId="6" xfId="21" applyFont="true" applyBorder="true" applyAlignment="true" applyProtection="true">
      <alignment horizontal="general" vertical="center" textRotation="0" wrapText="false" indent="0" shrinkToFit="false"/>
      <protection locked="false" hidden="false"/>
    </xf>
    <xf numFmtId="164" fontId="15" fillId="0" borderId="24" xfId="21" applyFont="true" applyBorder="true" applyAlignment="true" applyProtection="true">
      <alignment horizontal="general" vertical="center" textRotation="0" wrapText="false" indent="0" shrinkToFit="false"/>
      <protection locked="false" hidden="false"/>
    </xf>
    <xf numFmtId="167" fontId="18" fillId="0" borderId="25" xfId="21" applyFont="true" applyBorder="true" applyAlignment="true" applyProtection="true">
      <alignment horizontal="center" vertical="center" textRotation="0" wrapText="false" indent="0" shrinkToFit="false"/>
      <protection locked="true" hidden="false"/>
    </xf>
    <xf numFmtId="164" fontId="15" fillId="0" borderId="25" xfId="21" applyFont="true" applyBorder="true" applyAlignment="true" applyProtection="true">
      <alignment horizontal="general" vertical="center" textRotation="0" wrapText="false" indent="0" shrinkToFit="false"/>
      <protection locked="false" hidden="false"/>
    </xf>
    <xf numFmtId="164" fontId="15" fillId="0" borderId="21" xfId="21" applyFont="true" applyBorder="true" applyAlignment="true" applyProtection="true">
      <alignment horizontal="left" vertical="center" textRotation="0" wrapText="false" indent="0" shrinkToFit="false"/>
      <protection locked="false" hidden="false"/>
    </xf>
    <xf numFmtId="164" fontId="8" fillId="0" borderId="5" xfId="0" applyFont="true" applyBorder="true" applyAlignment="true" applyProtection="true">
      <alignment horizontal="general" vertical="center" textRotation="0" wrapText="false" indent="0" shrinkToFit="false"/>
      <protection locked="false" hidden="false"/>
    </xf>
    <xf numFmtId="166" fontId="28" fillId="0" borderId="6" xfId="0" applyFont="true" applyBorder="true" applyAlignment="true" applyProtection="true">
      <alignment horizontal="center" vertical="center" textRotation="0" wrapText="false" indent="0" shrinkToFit="false"/>
      <protection locked="true" hidden="false"/>
    </xf>
    <xf numFmtId="164" fontId="0" fillId="0" borderId="9" xfId="0" applyFont="false" applyBorder="true" applyAlignment="true" applyProtection="true">
      <alignment horizontal="left" vertical="center" textRotation="0" wrapText="false" indent="0" shrinkToFit="false"/>
      <protection locked="false" hidden="false"/>
    </xf>
    <xf numFmtId="168" fontId="4" fillId="0" borderId="0" xfId="20" applyFont="true" applyBorder="false" applyAlignment="true" applyProtection="true">
      <alignment horizontal="general" vertical="center" textRotation="0" wrapText="false" indent="0" shrinkToFit="false"/>
      <protection locked="false" hidden="false"/>
    </xf>
    <xf numFmtId="164" fontId="15" fillId="0" borderId="5" xfId="21" applyFont="true" applyBorder="true" applyAlignment="true" applyProtection="true">
      <alignment horizontal="general" vertical="center" textRotation="0" wrapText="false" indent="0" shrinkToFit="false"/>
      <protection locked="false" hidden="false"/>
    </xf>
    <xf numFmtId="167" fontId="18" fillId="0" borderId="6" xfId="21" applyFont="true" applyBorder="true" applyAlignment="true" applyProtection="true">
      <alignment horizontal="center" vertical="center" textRotation="0" wrapText="false" indent="0" shrinkToFit="false"/>
      <protection locked="true" hidden="false"/>
    </xf>
    <xf numFmtId="164" fontId="15" fillId="0" borderId="6" xfId="21" applyFont="true" applyBorder="true" applyAlignment="true" applyProtection="true">
      <alignment horizontal="general" vertical="center" textRotation="0" wrapText="false" indent="0" shrinkToFit="false"/>
      <protection locked="false" hidden="false"/>
    </xf>
    <xf numFmtId="164" fontId="15" fillId="0" borderId="9" xfId="21" applyFont="true" applyBorder="true" applyAlignment="true" applyProtection="true">
      <alignment horizontal="left" vertical="center" textRotation="0" wrapText="false" indent="0" shrinkToFit="false"/>
      <protection locked="false" hidden="false"/>
    </xf>
    <xf numFmtId="168" fontId="4" fillId="0" borderId="0" xfId="20" applyFont="true" applyBorder="false" applyAlignment="true" applyProtection="true">
      <alignment horizontal="general" vertical="center" textRotation="0" wrapText="false" indent="0" shrinkToFit="false"/>
      <protection locked="true" hidden="false"/>
    </xf>
    <xf numFmtId="169" fontId="4" fillId="0" borderId="0" xfId="20" applyFont="true" applyBorder="false" applyAlignment="true" applyProtection="true">
      <alignment horizontal="general" vertical="center" textRotation="0" wrapText="false" indent="0" shrinkToFit="false"/>
      <protection locked="true" hidden="false"/>
    </xf>
    <xf numFmtId="164" fontId="15" fillId="3" borderId="9" xfId="21" applyFont="true" applyBorder="true" applyAlignment="true" applyProtection="true">
      <alignment horizontal="general" vertical="center" textRotation="0" wrapText="true" indent="0" shrinkToFit="false"/>
      <protection locked="false" hidden="false"/>
    </xf>
    <xf numFmtId="164" fontId="24" fillId="4" borderId="1" xfId="21" applyFont="true" applyBorder="true" applyAlignment="true" applyProtection="true">
      <alignment horizontal="center" vertical="center" textRotation="0" wrapText="false" indent="0" shrinkToFit="false"/>
      <protection locked="false" hidden="false"/>
    </xf>
    <xf numFmtId="164" fontId="15" fillId="3" borderId="26" xfId="21" applyFont="true" applyBorder="true" applyAlignment="true" applyProtection="true">
      <alignment horizontal="general" vertical="center" textRotation="0" wrapText="false" indent="0" shrinkToFit="false"/>
      <protection locked="false" hidden="false"/>
    </xf>
    <xf numFmtId="164" fontId="18" fillId="3" borderId="27" xfId="21" applyFont="true" applyBorder="true" applyAlignment="true" applyProtection="true">
      <alignment horizontal="center" vertical="center" textRotation="0" wrapText="false" indent="0" shrinkToFit="false"/>
      <protection locked="true" hidden="false"/>
    </xf>
    <xf numFmtId="164" fontId="15" fillId="3" borderId="28" xfId="21" applyFont="true" applyBorder="true" applyAlignment="true" applyProtection="true">
      <alignment horizontal="general" vertical="center" textRotation="0" wrapText="false" indent="0" shrinkToFit="false"/>
      <protection locked="false" hidden="false"/>
    </xf>
    <xf numFmtId="164" fontId="15" fillId="3" borderId="29" xfId="21" applyFont="true" applyBorder="true" applyAlignment="true" applyProtection="true">
      <alignment horizontal="left" vertical="center" textRotation="0" wrapText="false" indent="0" shrinkToFit="false"/>
      <protection locked="false" hidden="false"/>
    </xf>
    <xf numFmtId="164" fontId="18" fillId="3" borderId="30" xfId="21" applyFont="true" applyBorder="true" applyAlignment="true" applyProtection="true">
      <alignment horizontal="center" vertical="center" textRotation="0" wrapText="false" indent="0" shrinkToFit="false"/>
      <protection locked="true" hidden="false"/>
    </xf>
    <xf numFmtId="164" fontId="15" fillId="3" borderId="19" xfId="21" applyFont="true" applyBorder="true" applyAlignment="true" applyProtection="true">
      <alignment horizontal="general" vertical="center" textRotation="0" wrapText="false" indent="0" shrinkToFit="false"/>
      <protection locked="false" hidden="false"/>
    </xf>
    <xf numFmtId="164" fontId="15" fillId="3" borderId="31" xfId="21" applyFont="true" applyBorder="true" applyAlignment="true" applyProtection="true">
      <alignment horizontal="left" vertical="center" textRotation="0" wrapText="true" indent="0" shrinkToFit="false"/>
      <protection locked="false" hidden="false"/>
    </xf>
    <xf numFmtId="164" fontId="15" fillId="3" borderId="31" xfId="21" applyFont="true" applyBorder="true" applyAlignment="true" applyProtection="true">
      <alignment horizontal="left" vertical="center" textRotation="0" wrapText="false" indent="0" shrinkToFit="false"/>
      <protection locked="false" hidden="false"/>
    </xf>
    <xf numFmtId="164" fontId="15" fillId="3" borderId="32" xfId="21" applyFont="true" applyBorder="true" applyAlignment="true" applyProtection="true">
      <alignment horizontal="left" vertical="center" textRotation="0" wrapText="false" indent="0" shrinkToFit="false"/>
      <protection locked="false" hidden="false"/>
    </xf>
    <xf numFmtId="164" fontId="18" fillId="5" borderId="20" xfId="21" applyFont="true" applyBorder="true" applyAlignment="true" applyProtection="true">
      <alignment horizontal="center" vertical="center" textRotation="0" wrapText="false" indent="0" shrinkToFit="false"/>
      <protection locked="false" hidden="false"/>
    </xf>
    <xf numFmtId="164" fontId="15" fillId="3" borderId="33" xfId="21" applyFont="true" applyBorder="true" applyAlignment="true" applyProtection="true">
      <alignment horizontal="left" vertical="center" textRotation="0" wrapText="false" indent="0" shrinkToFit="false"/>
      <protection locked="false" hidden="false"/>
    </xf>
    <xf numFmtId="164" fontId="15" fillId="3" borderId="34" xfId="21" applyFont="true" applyBorder="true" applyAlignment="true" applyProtection="true">
      <alignment horizontal="general" vertical="center" textRotation="0" wrapText="false" indent="0" shrinkToFit="false"/>
      <protection locked="false" hidden="false"/>
    </xf>
    <xf numFmtId="164" fontId="18" fillId="3" borderId="35" xfId="21" applyFont="true" applyBorder="true" applyAlignment="true" applyProtection="true">
      <alignment horizontal="center" vertical="center" textRotation="0" wrapText="false" indent="0" shrinkToFit="false"/>
      <protection locked="true" hidden="false"/>
    </xf>
    <xf numFmtId="164" fontId="15" fillId="3" borderId="36" xfId="21" applyFont="true" applyBorder="true" applyAlignment="true" applyProtection="true">
      <alignment horizontal="general" vertical="center" textRotation="0" wrapText="false" indent="0" shrinkToFit="false"/>
      <protection locked="false" hidden="false"/>
    </xf>
    <xf numFmtId="164" fontId="15" fillId="3" borderId="37" xfId="21" applyFont="true" applyBorder="true" applyAlignment="true" applyProtection="true">
      <alignment horizontal="left" vertical="center" textRotation="0" wrapText="true" indent="0" shrinkToFit="false"/>
      <protection locked="false" hidden="false"/>
    </xf>
    <xf numFmtId="166" fontId="18" fillId="5" borderId="20" xfId="21" applyFont="true" applyBorder="true" applyAlignment="true" applyProtection="true">
      <alignment horizontal="center" vertical="center" textRotation="0" wrapText="false" indent="0" shrinkToFit="false"/>
      <protection locked="false" hidden="false"/>
    </xf>
    <xf numFmtId="164" fontId="15" fillId="3" borderId="33" xfId="21" applyFont="true" applyBorder="true" applyAlignment="true" applyProtection="true">
      <alignment horizontal="left" vertical="center" textRotation="0" wrapText="true" indent="0" shrinkToFit="false"/>
      <protection locked="false" hidden="false"/>
    </xf>
    <xf numFmtId="164" fontId="15" fillId="3" borderId="38" xfId="21" applyFont="true" applyBorder="true" applyAlignment="true" applyProtection="true">
      <alignment horizontal="left" vertical="center" textRotation="0" wrapText="false" indent="0" shrinkToFit="false"/>
      <protection locked="false" hidden="false"/>
    </xf>
    <xf numFmtId="164" fontId="15" fillId="3" borderId="39" xfId="21" applyFont="true" applyBorder="true" applyAlignment="true" applyProtection="true">
      <alignment horizontal="left" vertical="center" textRotation="0" wrapText="false" indent="0" shrinkToFit="false"/>
      <protection locked="false" hidden="false"/>
    </xf>
    <xf numFmtId="164" fontId="30" fillId="0" borderId="0" xfId="20" applyFont="true" applyBorder="false" applyAlignment="true" applyProtection="true">
      <alignment horizontal="general" vertical="center" textRotation="0" wrapText="false" indent="0" shrinkToFit="false"/>
      <protection locked="true" hidden="false"/>
    </xf>
    <xf numFmtId="164" fontId="31" fillId="0" borderId="0" xfId="20" applyFont="true" applyBorder="false" applyAlignment="true" applyProtection="true">
      <alignment horizontal="general" vertical="center" textRotation="0" wrapText="false" indent="0" shrinkToFit="false"/>
      <protection locked="true" hidden="false"/>
    </xf>
    <xf numFmtId="164" fontId="32" fillId="0" borderId="0" xfId="20" applyFont="true" applyBorder="false" applyAlignment="true" applyProtection="true">
      <alignment horizontal="general" vertical="center" textRotation="0" wrapText="false" indent="0" shrinkToFit="false"/>
      <protection locked="true" hidden="false"/>
    </xf>
    <xf numFmtId="164" fontId="31" fillId="0" borderId="0" xfId="20" applyFont="true" applyBorder="false" applyAlignment="true" applyProtection="true">
      <alignment horizontal="left" vertical="center"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5" xfId="22"/>
  </cellStyles>
  <dxfs count="13">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externalLink" Target="externalLinks/externalLink1.xml"/><Relationship Id="rId7" Type="http://schemas.openxmlformats.org/officeDocument/2006/relationships/sharedStrings" Target="sharedStrings.xml"/><Relationship Id="rId8" Type="http://schemas.openxmlformats.org/officeDocument/2006/relationships/customXml" Target="../customXml/item3.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285840</xdr:colOff>
      <xdr:row>45</xdr:row>
      <xdr:rowOff>222480</xdr:rowOff>
    </xdr:from>
    <xdr:to>
      <xdr:col>22</xdr:col>
      <xdr:colOff>272520</xdr:colOff>
      <xdr:row>70</xdr:row>
      <xdr:rowOff>245160</xdr:rowOff>
    </xdr:to>
    <xdr:pic>
      <xdr:nvPicPr>
        <xdr:cNvPr id="1" name="Picture 15"/>
        <xdr:cNvPicPr/>
      </xdr:nvPicPr>
      <xdr:blipFill>
        <a:blip r:embed="rId1"/>
        <a:stretch/>
      </xdr:blipFill>
      <xdr:spPr>
        <a:xfrm>
          <a:off x="16044120" y="12649320"/>
          <a:ext cx="12340440" cy="7904880"/>
        </a:xfrm>
        <a:prstGeom prst="rect">
          <a:avLst/>
        </a:prstGeom>
        <a:noFill/>
        <a:ln w="0">
          <a:noFill/>
        </a:ln>
      </xdr:spPr>
    </xdr:pic>
    <xdr:clientData/>
  </xdr:twoCellAnchor>
  <xdr:twoCellAnchor editAs="oneCell">
    <xdr:from>
      <xdr:col>6</xdr:col>
      <xdr:colOff>40680</xdr:colOff>
      <xdr:row>12</xdr:row>
      <xdr:rowOff>68040</xdr:rowOff>
    </xdr:from>
    <xdr:to>
      <xdr:col>22</xdr:col>
      <xdr:colOff>59040</xdr:colOff>
      <xdr:row>40</xdr:row>
      <xdr:rowOff>88920</xdr:rowOff>
    </xdr:to>
    <xdr:pic>
      <xdr:nvPicPr>
        <xdr:cNvPr id="2" name="Picture 20"/>
        <xdr:cNvPicPr/>
      </xdr:nvPicPr>
      <xdr:blipFill>
        <a:blip r:embed="rId2"/>
        <a:stretch/>
      </xdr:blipFill>
      <xdr:spPr>
        <a:xfrm>
          <a:off x="15798960" y="3238560"/>
          <a:ext cx="12372120" cy="80773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257760</xdr:colOff>
      <xdr:row>0</xdr:row>
      <xdr:rowOff>54360</xdr:rowOff>
    </xdr:from>
    <xdr:to>
      <xdr:col>17</xdr:col>
      <xdr:colOff>239040</xdr:colOff>
      <xdr:row>20</xdr:row>
      <xdr:rowOff>104760</xdr:rowOff>
    </xdr:to>
    <xdr:pic>
      <xdr:nvPicPr>
        <xdr:cNvPr id="3" name="Picture 4"/>
        <xdr:cNvPicPr/>
      </xdr:nvPicPr>
      <xdr:blipFill>
        <a:blip r:embed="rId1"/>
        <a:stretch/>
      </xdr:blipFill>
      <xdr:spPr>
        <a:xfrm>
          <a:off x="12713400" y="54360"/>
          <a:ext cx="7512840" cy="5526000"/>
        </a:xfrm>
        <a:prstGeom prst="rect">
          <a:avLst/>
        </a:prstGeom>
        <a:noFill/>
        <a:ln w="0">
          <a:noFill/>
        </a:ln>
      </xdr:spPr>
    </xdr:pic>
    <xdr:clientData/>
  </xdr:twoCellAnchor>
  <xdr:twoCellAnchor editAs="oneCell">
    <xdr:from>
      <xdr:col>6</xdr:col>
      <xdr:colOff>544320</xdr:colOff>
      <xdr:row>20</xdr:row>
      <xdr:rowOff>319680</xdr:rowOff>
    </xdr:from>
    <xdr:to>
      <xdr:col>16</xdr:col>
      <xdr:colOff>583920</xdr:colOff>
      <xdr:row>38</xdr:row>
      <xdr:rowOff>182880</xdr:rowOff>
    </xdr:to>
    <xdr:pic>
      <xdr:nvPicPr>
        <xdr:cNvPr id="4" name="Picture 1"/>
        <xdr:cNvPicPr/>
      </xdr:nvPicPr>
      <xdr:blipFill>
        <a:blip r:embed="rId2"/>
        <a:stretch/>
      </xdr:blipFill>
      <xdr:spPr>
        <a:xfrm>
          <a:off x="13302000" y="5795280"/>
          <a:ext cx="6634800" cy="4233240"/>
        </a:xfrm>
        <a:prstGeom prst="rect">
          <a:avLst/>
        </a:prstGeom>
        <a:noFill/>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Users/a0226006/AppData/Local/Microsoft/Windows/INetCache/Content.Outlook/2ZJX7BWR/project-acdc/Project-%20UCC28782/EVM/65W%20Si/sluc664b_ucc28782_65W_for_782_102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Input Here"/>
      <sheetName val="Main Calculation"/>
      <sheetName val="Schematic &amp; BoM"/>
      <sheetName val="Secondary Resonance"/>
      <sheetName val="Boost"/>
      <sheetName val="BUR"/>
      <sheetName val="FLT"/>
      <sheetName val="IPC"/>
      <sheetName val="S13"/>
      <sheetName val="XCD"/>
      <sheetName val="OPP"/>
      <sheetName val="2nd Resonance org"/>
      <sheetName val="Burst Mode for USB-PD"/>
      <sheetName val="Hide Calculate"/>
      <sheetName val="RTZ RDM R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1"/>
  <sheetViews>
    <sheetView showFormulas="false" showGridLines="true" showRowColHeaders="true" showZeros="true" rightToLeft="false" tabSelected="false" showOutlineSymbols="true" defaultGridColor="true" view="normal" topLeftCell="A13" colorId="64" zoomScale="60" zoomScaleNormal="60" zoomScalePageLayoutView="100" workbookViewId="0">
      <selection pane="topLeft" activeCell="B13" activeCellId="0" sqref="B13"/>
    </sheetView>
  </sheetViews>
  <sheetFormatPr defaultColWidth="9.00390625" defaultRowHeight="15" customHeight="false" zeroHeight="false" outlineLevelRow="0" outlineLevelCol="0"/>
  <cols>
    <col collapsed="false" customWidth="true" hidden="false" outlineLevel="0" max="1" min="1" style="1" width="5"/>
    <col collapsed="false" customWidth="true" hidden="false" outlineLevel="0" max="2" min="2" style="1" width="89.29"/>
    <col collapsed="false" customWidth="true" hidden="false" outlineLevel="0" max="3" min="3" style="1" width="49.29"/>
    <col collapsed="false" customWidth="true" hidden="false" outlineLevel="0" max="4" min="4" style="1" width="17.29"/>
    <col collapsed="false" customWidth="true" hidden="false" outlineLevel="0" max="5" min="5" style="1" width="44.85"/>
    <col collapsed="false" customWidth="true" hidden="false" outlineLevel="0" max="6" min="6" style="1" width="17.86"/>
    <col collapsed="false" customWidth="true" hidden="false" outlineLevel="0" max="7" min="7" style="2" width="23.71"/>
    <col collapsed="false" customWidth="true" hidden="false" outlineLevel="0" max="9" min="8" style="1" width="7.71"/>
    <col collapsed="false" customWidth="true" hidden="false" outlineLevel="0" max="10" min="10" style="1" width="32"/>
    <col collapsed="false" customWidth="true" hidden="false" outlineLevel="0" max="13" min="11" style="1" width="7.71"/>
    <col collapsed="false" customWidth="false" hidden="false" outlineLevel="0" max="16384" min="14" style="1" width="9"/>
  </cols>
  <sheetData>
    <row r="1" customFormat="false" ht="29.15" hidden="false" customHeight="true" outlineLevel="0" collapsed="false">
      <c r="A1" s="3"/>
      <c r="B1" s="4" t="s">
        <v>0</v>
      </c>
      <c r="C1" s="4"/>
      <c r="D1" s="4"/>
      <c r="E1" s="4"/>
      <c r="F1" s="3"/>
      <c r="G1" s="5"/>
      <c r="H1" s="3"/>
      <c r="I1" s="3"/>
      <c r="J1" s="3"/>
      <c r="K1" s="3"/>
      <c r="L1" s="3"/>
      <c r="M1" s="3"/>
      <c r="N1" s="3"/>
      <c r="O1" s="3"/>
      <c r="P1" s="3"/>
      <c r="Q1" s="3"/>
    </row>
    <row r="2" customFormat="false" ht="15" hidden="false" customHeight="false" outlineLevel="0" collapsed="false">
      <c r="A2" s="3"/>
      <c r="B2" s="6" t="s">
        <v>1</v>
      </c>
      <c r="C2" s="6"/>
      <c r="D2" s="6"/>
      <c r="E2" s="6"/>
      <c r="F2" s="3"/>
      <c r="G2" s="5"/>
      <c r="H2" s="3"/>
      <c r="I2" s="3"/>
      <c r="J2" s="3"/>
      <c r="K2" s="3"/>
      <c r="L2" s="3"/>
      <c r="M2" s="3"/>
      <c r="N2" s="3"/>
      <c r="O2" s="3"/>
      <c r="P2" s="3"/>
      <c r="Q2" s="3"/>
    </row>
    <row r="3" customFormat="false" ht="15" hidden="false" customHeight="true" outlineLevel="0" collapsed="false">
      <c r="A3" s="3"/>
      <c r="B3" s="7" t="s">
        <v>2</v>
      </c>
      <c r="C3" s="7"/>
      <c r="D3" s="7"/>
      <c r="E3" s="7"/>
      <c r="F3" s="3"/>
      <c r="G3" s="5"/>
      <c r="H3" s="3"/>
      <c r="I3" s="3"/>
      <c r="J3" s="3"/>
      <c r="K3" s="3"/>
      <c r="L3" s="3"/>
      <c r="M3" s="3"/>
      <c r="N3" s="3"/>
      <c r="O3" s="3"/>
      <c r="P3" s="3"/>
      <c r="Q3" s="3"/>
    </row>
    <row r="4" customFormat="false" ht="15" hidden="false" customHeight="false" outlineLevel="0" collapsed="false">
      <c r="A4" s="8"/>
      <c r="B4" s="7"/>
      <c r="C4" s="7"/>
      <c r="D4" s="7"/>
      <c r="E4" s="7"/>
      <c r="F4" s="3"/>
      <c r="G4" s="5"/>
      <c r="H4" s="3"/>
      <c r="I4" s="3"/>
      <c r="J4" s="3"/>
      <c r="K4" s="3"/>
      <c r="L4" s="3"/>
      <c r="M4" s="3"/>
      <c r="N4" s="3"/>
      <c r="O4" s="3"/>
      <c r="P4" s="3"/>
      <c r="Q4" s="3"/>
    </row>
    <row r="5" customFormat="false" ht="15" hidden="false" customHeight="false" outlineLevel="0" collapsed="false">
      <c r="A5" s="8"/>
      <c r="B5" s="7"/>
      <c r="C5" s="7"/>
      <c r="D5" s="7"/>
      <c r="E5" s="7"/>
      <c r="F5" s="9"/>
      <c r="G5" s="5"/>
      <c r="H5" s="3"/>
      <c r="I5" s="3"/>
      <c r="J5" s="3"/>
      <c r="K5" s="3"/>
      <c r="L5" s="3"/>
      <c r="M5" s="3"/>
      <c r="N5" s="3"/>
      <c r="O5" s="3"/>
      <c r="P5" s="3"/>
      <c r="Q5" s="3"/>
    </row>
    <row r="6" customFormat="false" ht="15" hidden="false" customHeight="false" outlineLevel="0" collapsed="false">
      <c r="A6" s="8"/>
      <c r="B6" s="7"/>
      <c r="C6" s="7"/>
      <c r="D6" s="7"/>
      <c r="E6" s="7"/>
      <c r="F6" s="9"/>
      <c r="G6" s="5"/>
      <c r="H6" s="3"/>
      <c r="I6" s="3"/>
      <c r="J6" s="3"/>
      <c r="K6" s="3"/>
      <c r="L6" s="3"/>
      <c r="M6" s="3"/>
      <c r="N6" s="3"/>
      <c r="O6" s="3"/>
      <c r="P6" s="3"/>
      <c r="Q6" s="3"/>
    </row>
    <row r="7" customFormat="false" ht="24.75" hidden="false" customHeight="true" outlineLevel="0" collapsed="false">
      <c r="A7" s="8"/>
      <c r="B7" s="10" t="s">
        <v>3</v>
      </c>
      <c r="C7" s="10"/>
      <c r="D7" s="10"/>
      <c r="E7" s="10"/>
      <c r="F7" s="9"/>
      <c r="G7" s="5"/>
      <c r="H7" s="3"/>
      <c r="I7" s="3"/>
      <c r="J7" s="3"/>
      <c r="K7" s="3"/>
      <c r="L7" s="3"/>
      <c r="M7" s="3"/>
      <c r="N7" s="3"/>
      <c r="O7" s="3"/>
      <c r="P7" s="3"/>
      <c r="Q7" s="3"/>
    </row>
    <row r="8" customFormat="false" ht="17.35" hidden="false" customHeight="false" outlineLevel="0" collapsed="false">
      <c r="A8" s="8"/>
      <c r="B8" s="11" t="s">
        <v>4</v>
      </c>
      <c r="C8" s="11"/>
      <c r="D8" s="11"/>
      <c r="E8" s="11"/>
      <c r="F8" s="9"/>
      <c r="G8" s="5"/>
      <c r="H8" s="3"/>
      <c r="I8" s="3"/>
      <c r="J8" s="3"/>
      <c r="K8" s="3"/>
      <c r="L8" s="3"/>
      <c r="M8" s="3"/>
      <c r="N8" s="3"/>
      <c r="O8" s="3"/>
      <c r="P8" s="3"/>
      <c r="Q8" s="3"/>
    </row>
    <row r="9" customFormat="false" ht="17.15" hidden="false" customHeight="false" outlineLevel="0" collapsed="false">
      <c r="A9" s="8"/>
      <c r="B9" s="12" t="s">
        <v>5</v>
      </c>
      <c r="C9" s="12"/>
      <c r="D9" s="12"/>
      <c r="E9" s="12"/>
      <c r="F9" s="9"/>
      <c r="G9" s="5"/>
      <c r="H9" s="3"/>
      <c r="I9" s="3"/>
      <c r="J9" s="3"/>
      <c r="K9" s="3"/>
      <c r="L9" s="3"/>
      <c r="M9" s="3"/>
      <c r="N9" s="3"/>
      <c r="O9" s="3"/>
      <c r="P9" s="3"/>
      <c r="Q9" s="3"/>
    </row>
    <row r="10" customFormat="false" ht="56.25" hidden="false" customHeight="true" outlineLevel="0" collapsed="false">
      <c r="A10" s="8"/>
      <c r="B10" s="13" t="s">
        <v>6</v>
      </c>
      <c r="C10" s="13"/>
      <c r="D10" s="13"/>
      <c r="E10" s="13"/>
      <c r="F10" s="3"/>
      <c r="G10" s="5"/>
      <c r="H10" s="3"/>
      <c r="I10" s="3"/>
      <c r="J10" s="3"/>
      <c r="K10" s="3"/>
      <c r="L10" s="3"/>
      <c r="M10" s="3"/>
      <c r="N10" s="3"/>
      <c r="O10" s="3"/>
      <c r="P10" s="3"/>
      <c r="Q10" s="3"/>
    </row>
    <row r="11" customFormat="false" ht="15" hidden="false" customHeight="false" outlineLevel="0" collapsed="false">
      <c r="A11" s="8"/>
      <c r="B11" s="14" t="s">
        <v>7</v>
      </c>
      <c r="C11" s="14"/>
      <c r="D11" s="14"/>
      <c r="E11" s="14"/>
      <c r="F11" s="3"/>
      <c r="G11" s="5"/>
      <c r="H11" s="3"/>
      <c r="I11" s="3"/>
      <c r="J11" s="3"/>
      <c r="K11" s="3"/>
      <c r="L11" s="3"/>
      <c r="M11" s="3"/>
      <c r="N11" s="3"/>
      <c r="O11" s="3"/>
      <c r="P11" s="3"/>
      <c r="Q11" s="3"/>
    </row>
    <row r="12" customFormat="false" ht="15" hidden="false" customHeight="false" outlineLevel="0" collapsed="false">
      <c r="A12" s="8"/>
      <c r="B12" s="14"/>
      <c r="C12" s="14"/>
      <c r="D12" s="14"/>
      <c r="E12" s="14"/>
      <c r="F12" s="3"/>
      <c r="G12" s="5"/>
      <c r="H12" s="3"/>
      <c r="I12" s="3"/>
      <c r="J12" s="3"/>
      <c r="K12" s="3"/>
      <c r="L12" s="3"/>
      <c r="M12" s="3"/>
      <c r="N12" s="3"/>
      <c r="O12" s="3"/>
      <c r="P12" s="3"/>
      <c r="Q12" s="3"/>
    </row>
    <row r="13" customFormat="false" ht="20.25" hidden="false" customHeight="true" outlineLevel="0" collapsed="false">
      <c r="A13" s="8"/>
      <c r="B13" s="15" t="s">
        <v>8</v>
      </c>
      <c r="C13" s="16" t="n">
        <v>25</v>
      </c>
      <c r="D13" s="17" t="s">
        <v>9</v>
      </c>
      <c r="E13" s="18"/>
      <c r="F13" s="3"/>
      <c r="G13" s="5" t="n">
        <f aca="false">IF(COM_VEE&lt;2.5,1,0)</f>
        <v>0</v>
      </c>
      <c r="H13" s="3"/>
      <c r="I13" s="3"/>
      <c r="J13" s="3"/>
      <c r="K13" s="3"/>
      <c r="L13" s="3"/>
      <c r="M13" s="3"/>
      <c r="N13" s="3"/>
      <c r="O13" s="3"/>
      <c r="P13" s="3"/>
      <c r="Q13" s="3"/>
      <c r="W13" s="19"/>
    </row>
    <row r="14" customFormat="false" ht="26.85" hidden="false" customHeight="false" outlineLevel="0" collapsed="false">
      <c r="A14" s="8"/>
      <c r="B14" s="20" t="s">
        <v>10</v>
      </c>
      <c r="C14" s="16" t="n">
        <v>10</v>
      </c>
      <c r="D14" s="21" t="s">
        <v>9</v>
      </c>
      <c r="E14" s="22" t="str">
        <f aca="false">IF(COM_VEE&lt;2.5,"If COM-VEE &lt; 2.5V, then use FBVEE feedback resistor divider between VDD and COM",(IF(COM_VEE&gt;2.5,"If COM-VEE &gt; 2.5V, then use FBVEE feedback resistor divider between VEE and COM","If COM-VEE = 2.5V then connect FBVEE feedback directly to COM")))</f>
        <v>If COM-VEE &gt; 2.5V, then use FBVEE feedback resistor divider between VEE and COM</v>
      </c>
      <c r="F14" s="3"/>
      <c r="G14" s="5" t="n">
        <f aca="false">VDD_VEE-COM_VEE</f>
        <v>15</v>
      </c>
      <c r="H14" s="3" t="s">
        <v>11</v>
      </c>
      <c r="I14" s="3"/>
      <c r="J14" s="3"/>
      <c r="K14" s="3"/>
      <c r="L14" s="3"/>
      <c r="M14" s="3"/>
      <c r="N14" s="3"/>
      <c r="O14" s="3"/>
      <c r="P14" s="3"/>
      <c r="Q14" s="3"/>
    </row>
    <row r="15" customFormat="false" ht="20.25" hidden="false" customHeight="true" outlineLevel="0" collapsed="false">
      <c r="A15" s="8"/>
      <c r="B15" s="15" t="s">
        <v>12</v>
      </c>
      <c r="C15" s="23" t="n">
        <v>0.67</v>
      </c>
      <c r="D15" s="17" t="s">
        <v>13</v>
      </c>
      <c r="E15" s="24"/>
      <c r="F15" s="3"/>
      <c r="G15" s="5" t="n">
        <f aca="false">G14*PERCENT_VPP_MAX/100</f>
        <v>0.3</v>
      </c>
      <c r="H15" s="3" t="s">
        <v>14</v>
      </c>
      <c r="I15" s="3"/>
      <c r="J15" s="3"/>
      <c r="K15" s="3"/>
      <c r="L15" s="3"/>
      <c r="M15" s="3"/>
      <c r="N15" s="3"/>
      <c r="O15" s="3"/>
      <c r="P15" s="3"/>
      <c r="Q15" s="3"/>
    </row>
    <row r="16" customFormat="false" ht="20.25" hidden="false" customHeight="true" outlineLevel="0" collapsed="false">
      <c r="A16" s="8"/>
      <c r="B16" s="25" t="s">
        <v>15</v>
      </c>
      <c r="C16" s="26" t="n">
        <v>12</v>
      </c>
      <c r="D16" s="27" t="s">
        <v>16</v>
      </c>
      <c r="E16" s="28"/>
      <c r="F16" s="3"/>
      <c r="G16" s="5"/>
      <c r="H16" s="3"/>
      <c r="I16" s="3"/>
      <c r="J16" s="3"/>
      <c r="K16" s="3"/>
      <c r="L16" s="3"/>
      <c r="M16" s="3"/>
      <c r="N16" s="3"/>
      <c r="O16" s="3"/>
      <c r="P16" s="3"/>
      <c r="Q16" s="3"/>
    </row>
    <row r="17" customFormat="false" ht="30" hidden="false" customHeight="true" outlineLevel="0" collapsed="false">
      <c r="A17" s="8"/>
      <c r="B17" s="25" t="s">
        <v>17</v>
      </c>
      <c r="C17" s="29" t="n">
        <v>5</v>
      </c>
      <c r="D17" s="27" t="s">
        <v>18</v>
      </c>
      <c r="E17" s="30" t="s">
        <v>19</v>
      </c>
      <c r="F17" s="3"/>
      <c r="G17" s="5"/>
      <c r="H17" s="3"/>
      <c r="I17" s="3"/>
      <c r="J17" s="3"/>
      <c r="K17" s="3"/>
      <c r="L17" s="3"/>
      <c r="M17" s="3"/>
      <c r="N17" s="3"/>
      <c r="O17" s="3"/>
      <c r="P17" s="3"/>
      <c r="Q17" s="3"/>
    </row>
    <row r="18" customFormat="false" ht="20.25" hidden="false" customHeight="true" outlineLevel="0" collapsed="false">
      <c r="A18" s="8"/>
      <c r="B18" s="31" t="s">
        <v>20</v>
      </c>
      <c r="C18" s="32" t="n">
        <v>5</v>
      </c>
      <c r="D18" s="27" t="s">
        <v>18</v>
      </c>
      <c r="E18" s="28"/>
      <c r="F18" s="3"/>
      <c r="G18" s="5"/>
      <c r="H18" s="3"/>
      <c r="I18" s="3"/>
      <c r="J18" s="3"/>
      <c r="K18" s="3"/>
      <c r="L18" s="3"/>
      <c r="M18" s="3"/>
      <c r="N18" s="3"/>
      <c r="O18" s="3"/>
      <c r="P18" s="3"/>
      <c r="Q18" s="3"/>
    </row>
    <row r="19" customFormat="false" ht="20.25" hidden="false" customHeight="true" outlineLevel="0" collapsed="false">
      <c r="A19" s="8"/>
      <c r="B19" s="31" t="s">
        <v>21</v>
      </c>
      <c r="C19" s="29" t="n">
        <v>0</v>
      </c>
      <c r="D19" s="27" t="s">
        <v>18</v>
      </c>
      <c r="E19" s="28"/>
      <c r="F19" s="3"/>
      <c r="G19" s="5"/>
      <c r="H19" s="3"/>
      <c r="I19" s="3"/>
      <c r="J19" s="3"/>
      <c r="K19" s="3"/>
      <c r="L19" s="3"/>
      <c r="M19" s="3"/>
      <c r="N19" s="3"/>
      <c r="O19" s="3"/>
      <c r="P19" s="3"/>
      <c r="Q19" s="3"/>
    </row>
    <row r="20" customFormat="false" ht="20.25" hidden="false" customHeight="true" outlineLevel="0" collapsed="false">
      <c r="A20" s="8"/>
      <c r="B20" s="31" t="s">
        <v>22</v>
      </c>
      <c r="C20" s="29" t="n">
        <v>0</v>
      </c>
      <c r="D20" s="27" t="s">
        <v>18</v>
      </c>
      <c r="E20" s="28"/>
      <c r="F20" s="3"/>
      <c r="G20" s="5"/>
      <c r="H20" s="3"/>
      <c r="I20" s="3"/>
      <c r="J20" s="3"/>
      <c r="K20" s="3"/>
      <c r="L20" s="3"/>
      <c r="M20" s="3"/>
      <c r="N20" s="3"/>
      <c r="O20" s="3"/>
      <c r="P20" s="3"/>
      <c r="Q20" s="3"/>
    </row>
    <row r="21" customFormat="false" ht="20.25" hidden="false" customHeight="true" outlineLevel="0" collapsed="false">
      <c r="A21" s="8"/>
      <c r="B21" s="31" t="s">
        <v>23</v>
      </c>
      <c r="C21" s="33" t="n">
        <f aca="false">IQ_DRIVER_VDD+IQ_OTHER_VDD</f>
        <v>5</v>
      </c>
      <c r="D21" s="27" t="s">
        <v>18</v>
      </c>
      <c r="E21" s="28"/>
      <c r="F21" s="3"/>
      <c r="G21" s="5"/>
      <c r="H21" s="3"/>
      <c r="I21" s="3"/>
      <c r="J21" s="3"/>
      <c r="K21" s="3"/>
      <c r="L21" s="3"/>
      <c r="M21" s="3"/>
      <c r="N21" s="3"/>
      <c r="O21" s="3"/>
      <c r="P21" s="3"/>
      <c r="Q21" s="3"/>
    </row>
    <row r="22" customFormat="false" ht="20.25" hidden="false" customHeight="true" outlineLevel="0" collapsed="false">
      <c r="A22" s="8"/>
      <c r="B22" s="31" t="s">
        <v>24</v>
      </c>
      <c r="C22" s="33" t="n">
        <f aca="false">IQ_DRIVER_VEE+IQ_OTHER_VEE</f>
        <v>5</v>
      </c>
      <c r="D22" s="27" t="s">
        <v>18</v>
      </c>
      <c r="E22" s="28"/>
      <c r="F22" s="3"/>
      <c r="G22" s="5"/>
      <c r="H22" s="3"/>
      <c r="I22" s="3"/>
      <c r="J22" s="3"/>
      <c r="K22" s="3"/>
      <c r="L22" s="3"/>
      <c r="M22" s="3"/>
      <c r="N22" s="3"/>
      <c r="O22" s="3"/>
      <c r="P22" s="3"/>
      <c r="Q22" s="3"/>
    </row>
    <row r="23" customFormat="false" ht="20.25" hidden="false" customHeight="true" outlineLevel="0" collapsed="false">
      <c r="A23" s="8"/>
      <c r="B23" s="25" t="s">
        <v>25</v>
      </c>
      <c r="C23" s="29" t="n">
        <v>10</v>
      </c>
      <c r="D23" s="27" t="s">
        <v>26</v>
      </c>
      <c r="E23" s="28"/>
      <c r="F23" s="3"/>
      <c r="G23" s="5"/>
      <c r="H23" s="3"/>
      <c r="I23" s="3"/>
      <c r="J23" s="3"/>
      <c r="K23" s="3"/>
      <c r="L23" s="3"/>
      <c r="M23" s="3"/>
      <c r="N23" s="3"/>
      <c r="O23" s="3"/>
      <c r="P23" s="3"/>
      <c r="Q23" s="3"/>
    </row>
    <row r="24" customFormat="false" ht="19.5" hidden="false" customHeight="true" outlineLevel="0" collapsed="false">
      <c r="A24" s="8"/>
      <c r="B24" s="34" t="str">
        <f aca="false">IF(COM_VEE&lt;2.5,"COM_VEE &lt; 2.5V: Top feedback resistor between FBVEE and VDD, RFBVEE_VDD",(IF(COM_VEE&gt;2.5,"COM_VEE &gt; 2.5V: Bottom feedback resistor between FBVEE and VEE, RFBVEE_VEE","COM_VEE = 2.5V: Single feedback resistor between FBVEE and COM, RFBVEE_COM")))</f>
        <v>COM_VEE &gt; 2.5V: Bottom feedback resistor between FBVEE and VEE, RFBVEE_VEE</v>
      </c>
      <c r="C24" s="29" t="n">
        <v>20</v>
      </c>
      <c r="D24" s="35" t="s">
        <v>26</v>
      </c>
      <c r="E24" s="36"/>
      <c r="F24" s="3"/>
      <c r="G24" s="5"/>
      <c r="H24" s="3"/>
      <c r="I24" s="3"/>
      <c r="J24" s="3"/>
      <c r="K24" s="3"/>
      <c r="L24" s="3"/>
      <c r="M24" s="3"/>
      <c r="N24" s="3"/>
      <c r="O24" s="3"/>
      <c r="P24" s="3"/>
      <c r="Q24" s="3"/>
    </row>
    <row r="25" customFormat="false" ht="19.5" hidden="false" customHeight="true" outlineLevel="0" collapsed="false">
      <c r="A25" s="8"/>
      <c r="B25" s="37" t="s">
        <v>27</v>
      </c>
      <c r="C25" s="29" t="n">
        <v>2</v>
      </c>
      <c r="D25" s="38" t="s">
        <v>28</v>
      </c>
      <c r="E25" s="28" t="s">
        <v>29</v>
      </c>
      <c r="F25" s="3"/>
      <c r="G25" s="5"/>
      <c r="H25" s="3"/>
      <c r="I25" s="3"/>
      <c r="J25" s="3"/>
      <c r="K25" s="3"/>
      <c r="L25" s="3"/>
      <c r="M25" s="3"/>
      <c r="N25" s="3"/>
      <c r="O25" s="3"/>
      <c r="P25" s="3"/>
      <c r="Q25" s="3"/>
    </row>
    <row r="26" customFormat="false" ht="19.5" hidden="false" customHeight="true" outlineLevel="0" collapsed="false">
      <c r="A26" s="8"/>
      <c r="B26" s="15" t="s">
        <v>30</v>
      </c>
      <c r="C26" s="32" t="n">
        <v>15</v>
      </c>
      <c r="D26" s="17" t="s">
        <v>28</v>
      </c>
      <c r="E26" s="24"/>
      <c r="F26" s="3"/>
      <c r="G26" s="5"/>
      <c r="H26" s="3"/>
      <c r="I26" s="3"/>
      <c r="J26" s="3"/>
      <c r="K26" s="3"/>
      <c r="L26" s="3"/>
      <c r="M26" s="3"/>
      <c r="N26" s="3"/>
      <c r="O26" s="3"/>
      <c r="P26" s="3"/>
      <c r="Q26" s="3"/>
    </row>
    <row r="27" customFormat="false" ht="19.5" hidden="false" customHeight="true" outlineLevel="0" collapsed="false">
      <c r="A27" s="8"/>
      <c r="B27" s="15" t="s">
        <v>31</v>
      </c>
      <c r="C27" s="32" t="n">
        <v>-15</v>
      </c>
      <c r="D27" s="17" t="s">
        <v>28</v>
      </c>
      <c r="E27" s="24"/>
      <c r="F27" s="3"/>
      <c r="G27" s="5"/>
      <c r="H27" s="3"/>
      <c r="I27" s="3"/>
      <c r="J27" s="3"/>
      <c r="K27" s="3"/>
      <c r="L27" s="3"/>
      <c r="M27" s="3"/>
      <c r="N27" s="3"/>
      <c r="O27" s="3"/>
      <c r="P27" s="3"/>
      <c r="Q27" s="3"/>
    </row>
    <row r="28" customFormat="false" ht="19.5" hidden="false" customHeight="true" outlineLevel="0" collapsed="false">
      <c r="A28" s="8"/>
      <c r="B28" s="15" t="s">
        <v>32</v>
      </c>
      <c r="C28" s="32" t="n">
        <v>15</v>
      </c>
      <c r="D28" s="17" t="s">
        <v>28</v>
      </c>
      <c r="E28" s="24"/>
      <c r="F28" s="3"/>
      <c r="G28" s="5"/>
      <c r="H28" s="3"/>
      <c r="I28" s="3"/>
      <c r="J28" s="3"/>
      <c r="K28" s="3"/>
      <c r="L28" s="3"/>
      <c r="M28" s="3"/>
      <c r="N28" s="3"/>
      <c r="O28" s="3"/>
      <c r="P28" s="3"/>
      <c r="Q28" s="3"/>
    </row>
    <row r="29" customFormat="false" ht="19.5" hidden="false" customHeight="true" outlineLevel="0" collapsed="false">
      <c r="A29" s="8"/>
      <c r="B29" s="25" t="s">
        <v>33</v>
      </c>
      <c r="C29" s="29" t="n">
        <v>-15</v>
      </c>
      <c r="D29" s="27" t="s">
        <v>28</v>
      </c>
      <c r="E29" s="28"/>
      <c r="F29" s="3"/>
      <c r="G29" s="5"/>
      <c r="H29" s="3"/>
      <c r="I29" s="3"/>
      <c r="J29" s="3"/>
      <c r="K29" s="3"/>
      <c r="L29" s="3"/>
      <c r="M29" s="3"/>
      <c r="N29" s="3"/>
      <c r="O29" s="3"/>
      <c r="P29" s="3"/>
      <c r="Q29" s="3"/>
    </row>
    <row r="30" customFormat="false" ht="19.5" hidden="false" customHeight="true" outlineLevel="0" collapsed="false">
      <c r="A30" s="8"/>
      <c r="B30" s="15" t="s">
        <v>34</v>
      </c>
      <c r="C30" s="39" t="n">
        <f aca="false">IF(ABS(G30)&gt;ABS(G31), G30,G31)</f>
        <v>-0.522006803438941</v>
      </c>
      <c r="D30" s="17" t="s">
        <v>18</v>
      </c>
      <c r="E30" s="40" t="s">
        <v>35</v>
      </c>
      <c r="F30" s="3"/>
      <c r="G30" s="5" t="n">
        <f aca="false">10^3*(Qgtot*fsw*10^-3*(((COUT3*(1+dCOUT3_POS*0.01)/(COUT2*(1+dCOUT2_NEG*0.01)+COUT3*(1+dCOUT3_POS*0.01))))-(COUT3/(COUT2+COUT3))))</f>
        <v>0.45776432524106</v>
      </c>
      <c r="H30" s="3" t="s">
        <v>18</v>
      </c>
      <c r="I30" s="3" t="s">
        <v>36</v>
      </c>
      <c r="J30" s="3"/>
      <c r="K30" s="3"/>
      <c r="L30" s="3"/>
      <c r="M30" s="3"/>
      <c r="N30" s="3"/>
      <c r="O30" s="3"/>
      <c r="P30" s="3"/>
      <c r="Q30" s="3"/>
    </row>
    <row r="31" customFormat="false" ht="19.5" hidden="false" customHeight="true" outlineLevel="0" collapsed="false">
      <c r="A31" s="8"/>
      <c r="B31" s="15"/>
      <c r="C31" s="39"/>
      <c r="D31" s="17"/>
      <c r="E31" s="40"/>
      <c r="F31" s="3"/>
      <c r="G31" s="5" t="n">
        <f aca="false">-10^3*(Qgtot*fsw*10^-3*(((COUT2*(1+dCOUT2_POS*0.01)/(COUT2*(1+dCOUT2_POS*0.01)+COUT3*(1+dCOUT3_NEG*0.01))))-(COUT2/(COUT2+COUT3))))</f>
        <v>-0.522006803438941</v>
      </c>
      <c r="H31" s="3" t="s">
        <v>18</v>
      </c>
      <c r="I31" s="3" t="s">
        <v>37</v>
      </c>
      <c r="J31" s="3"/>
      <c r="K31" s="3"/>
      <c r="L31" s="3"/>
      <c r="M31" s="3"/>
      <c r="N31" s="3"/>
      <c r="O31" s="3"/>
      <c r="P31" s="3"/>
      <c r="Q31" s="3"/>
    </row>
    <row r="32" customFormat="false" ht="19.5" hidden="false" customHeight="true" outlineLevel="0" collapsed="false">
      <c r="A32" s="8"/>
      <c r="B32" s="41" t="s">
        <v>38</v>
      </c>
      <c r="C32" s="42" t="n">
        <f aca="false">IF(ABS(G32)&gt;ABS(G33), G32, G33)</f>
        <v>-0.522006803438941</v>
      </c>
      <c r="D32" s="43" t="s">
        <v>18</v>
      </c>
      <c r="E32" s="44" t="s">
        <v>35</v>
      </c>
      <c r="F32" s="3"/>
      <c r="G32" s="5" t="n">
        <f aca="false">G30+IF(I_COM_VEE&gt;I_VDD_COM, I_COM_VEE-I_VDD_COM,0)</f>
        <v>0.45776432524106</v>
      </c>
      <c r="H32" s="3" t="s">
        <v>18</v>
      </c>
      <c r="I32" s="3" t="s">
        <v>39</v>
      </c>
      <c r="J32" s="3"/>
      <c r="K32" s="3"/>
      <c r="L32" s="3"/>
      <c r="M32" s="3"/>
      <c r="N32" s="3"/>
      <c r="O32" s="3"/>
      <c r="P32" s="3"/>
      <c r="Q32" s="3"/>
    </row>
    <row r="33" customFormat="false" ht="19.5" hidden="false" customHeight="true" outlineLevel="0" collapsed="false">
      <c r="A33" s="8"/>
      <c r="B33" s="41"/>
      <c r="C33" s="42"/>
      <c r="D33" s="43"/>
      <c r="E33" s="44"/>
      <c r="F33" s="3"/>
      <c r="G33" s="45" t="n">
        <f aca="false">G31-IF(I_COM_VEE&lt;I_VDD_COM, I_VDD_COM-I_COM_VEE,0)</f>
        <v>-0.522006803438941</v>
      </c>
      <c r="H33" s="3" t="s">
        <v>18</v>
      </c>
      <c r="I33" s="3" t="s">
        <v>40</v>
      </c>
      <c r="J33" s="3"/>
      <c r="K33" s="3"/>
      <c r="L33" s="3"/>
      <c r="M33" s="3"/>
      <c r="N33" s="3"/>
      <c r="O33" s="3"/>
      <c r="P33" s="3"/>
      <c r="Q33" s="3"/>
    </row>
    <row r="34" customFormat="false" ht="20.25" hidden="false" customHeight="true" outlineLevel="0" collapsed="false">
      <c r="A34" s="8"/>
      <c r="B34" s="15" t="s">
        <v>41</v>
      </c>
      <c r="C34" s="46" t="n">
        <f aca="false">(Qgtot*0.000001*VDD_VEE*fsw*1000)</f>
        <v>0.201</v>
      </c>
      <c r="D34" s="17" t="s">
        <v>42</v>
      </c>
      <c r="E34" s="24"/>
      <c r="F34" s="3"/>
      <c r="G34" s="5"/>
      <c r="H34" s="3"/>
      <c r="I34" s="3"/>
      <c r="J34" s="3"/>
      <c r="K34" s="3"/>
      <c r="L34" s="3"/>
      <c r="M34" s="3"/>
      <c r="N34" s="3"/>
      <c r="O34" s="3"/>
      <c r="P34" s="3"/>
      <c r="Q34" s="3"/>
    </row>
    <row r="35" customFormat="false" ht="20.25" hidden="false" customHeight="true" outlineLevel="0" collapsed="false">
      <c r="A35" s="8"/>
      <c r="B35" s="25" t="s">
        <v>43</v>
      </c>
      <c r="C35" s="47" t="n">
        <f aca="false">IF(ABS(IQ_DRIVER_VDD)&gt;ABS(IQ_DRIVER_VEE), VDD_VEE*IQ_DRIVER_VDD*0.001,VDD_VEE*IQ_DRIVER_VEE*0.001)</f>
        <v>0.125</v>
      </c>
      <c r="D35" s="27" t="s">
        <v>42</v>
      </c>
      <c r="E35" s="28"/>
      <c r="F35" s="3"/>
      <c r="G35" s="5"/>
      <c r="H35" s="3"/>
      <c r="I35" s="3"/>
      <c r="J35" s="3"/>
      <c r="K35" s="3"/>
      <c r="L35" s="3"/>
      <c r="M35" s="3"/>
      <c r="N35" s="3"/>
      <c r="O35" s="3"/>
      <c r="P35" s="3"/>
      <c r="Q35" s="3"/>
    </row>
    <row r="36" customFormat="false" ht="20.25" hidden="false" customHeight="true" outlineLevel="0" collapsed="false">
      <c r="A36" s="8"/>
      <c r="B36" s="25" t="s">
        <v>44</v>
      </c>
      <c r="C36" s="48" t="n">
        <f aca="false">IF(IRLIM_CAP&gt;0, (VDD_VEE-COM_VEE)*IRLIM_CAP*0.001,0)</f>
        <v>0</v>
      </c>
      <c r="D36" s="27" t="s">
        <v>42</v>
      </c>
      <c r="E36" s="28"/>
      <c r="F36" s="3"/>
      <c r="G36" s="5"/>
      <c r="H36" s="3"/>
      <c r="I36" s="3"/>
      <c r="J36" s="3"/>
      <c r="K36" s="3"/>
      <c r="L36" s="3"/>
      <c r="M36" s="3"/>
      <c r="N36" s="3"/>
      <c r="O36" s="3"/>
      <c r="P36" s="3"/>
      <c r="Q36" s="3"/>
    </row>
    <row r="37" customFormat="false" ht="40.5" hidden="false" customHeight="true" outlineLevel="0" collapsed="false">
      <c r="A37" s="8"/>
      <c r="B37" s="15" t="s">
        <v>45</v>
      </c>
      <c r="C37" s="49" t="n">
        <v>1</v>
      </c>
      <c r="D37" s="17" t="s">
        <v>42</v>
      </c>
      <c r="E37" s="40" t="s">
        <v>46</v>
      </c>
      <c r="F37" s="3"/>
      <c r="G37" s="5"/>
      <c r="H37" s="3"/>
      <c r="I37" s="3"/>
      <c r="J37" s="3"/>
      <c r="K37" s="3"/>
      <c r="L37" s="3"/>
      <c r="M37" s="3"/>
      <c r="N37" s="3"/>
      <c r="O37" s="3"/>
      <c r="P37" s="3"/>
      <c r="Q37" s="3"/>
    </row>
    <row r="38" customFormat="false" ht="32.25" hidden="false" customHeight="true" outlineLevel="0" collapsed="false">
      <c r="A38" s="8"/>
      <c r="B38" s="25" t="s">
        <v>47</v>
      </c>
      <c r="C38" s="50" t="n">
        <f aca="false">C34+C35+C36</f>
        <v>0.326</v>
      </c>
      <c r="D38" s="17" t="s">
        <v>42</v>
      </c>
      <c r="E38" s="40" t="s">
        <v>48</v>
      </c>
      <c r="F38" s="3"/>
      <c r="G38" s="5"/>
      <c r="H38" s="3"/>
      <c r="I38" s="3"/>
      <c r="J38" s="3"/>
      <c r="K38" s="3"/>
      <c r="L38" s="3"/>
      <c r="M38" s="3"/>
      <c r="N38" s="3"/>
      <c r="O38" s="3"/>
      <c r="P38" s="3"/>
      <c r="Q38" s="3"/>
    </row>
    <row r="39" customFormat="false" ht="46.5" hidden="false" customHeight="true" outlineLevel="0" collapsed="false">
      <c r="A39" s="8"/>
      <c r="B39" s="15" t="s">
        <v>49</v>
      </c>
      <c r="C39" s="49" t="n">
        <v>2</v>
      </c>
      <c r="D39" s="43" t="s">
        <v>42</v>
      </c>
      <c r="E39" s="44" t="s">
        <v>50</v>
      </c>
      <c r="F39" s="3"/>
      <c r="G39" s="5" t="n">
        <f aca="false">P_MAX/VDD_VEE</f>
        <v>0.08</v>
      </c>
      <c r="H39" s="1" t="s">
        <v>51</v>
      </c>
      <c r="I39" s="3" t="s">
        <v>52</v>
      </c>
      <c r="J39" s="3"/>
      <c r="K39" s="3"/>
      <c r="L39" s="3"/>
      <c r="M39" s="3"/>
      <c r="N39" s="3"/>
      <c r="O39" s="3"/>
      <c r="P39" s="3"/>
      <c r="Q39" s="3"/>
    </row>
    <row r="40" customFormat="false" ht="20.25" hidden="false" customHeight="true" outlineLevel="0" collapsed="false">
      <c r="A40" s="8"/>
      <c r="B40" s="51" t="s">
        <v>53</v>
      </c>
      <c r="C40" s="52" t="n">
        <f aca="false">P_MAX/VDD_VEE</f>
        <v>0.08</v>
      </c>
      <c r="D40" s="53" t="s">
        <v>51</v>
      </c>
      <c r="E40" s="54"/>
      <c r="F40" s="3"/>
      <c r="G40" s="5"/>
      <c r="H40" s="3"/>
      <c r="I40" s="3"/>
      <c r="J40" s="3"/>
      <c r="K40" s="3"/>
      <c r="L40" s="3"/>
      <c r="M40" s="3"/>
      <c r="N40" s="3"/>
      <c r="O40" s="3"/>
      <c r="P40" s="3"/>
      <c r="Q40" s="3"/>
    </row>
    <row r="41" customFormat="false" ht="19.5" hidden="false" customHeight="true" outlineLevel="0" collapsed="false">
      <c r="A41" s="8"/>
      <c r="B41" s="55"/>
      <c r="C41" s="55"/>
      <c r="D41" s="55"/>
      <c r="E41" s="56"/>
      <c r="F41" s="3"/>
      <c r="G41" s="5"/>
      <c r="H41" s="3"/>
      <c r="I41" s="3"/>
      <c r="J41" s="3"/>
      <c r="K41" s="3"/>
      <c r="L41" s="3"/>
      <c r="M41" s="3"/>
      <c r="N41" s="3"/>
      <c r="O41" s="3"/>
      <c r="P41" s="3"/>
      <c r="Q41" s="3"/>
    </row>
    <row r="42" customFormat="false" ht="15" hidden="false" customHeight="false" outlineLevel="0" collapsed="false">
      <c r="A42" s="8"/>
      <c r="B42" s="57" t="s">
        <v>54</v>
      </c>
      <c r="C42" s="57"/>
      <c r="D42" s="57"/>
      <c r="E42" s="57"/>
      <c r="F42" s="3"/>
      <c r="G42" s="5"/>
      <c r="H42" s="3"/>
      <c r="I42" s="3"/>
      <c r="J42" s="3"/>
      <c r="K42" s="3"/>
      <c r="L42" s="3"/>
      <c r="M42" s="3"/>
      <c r="N42" s="3"/>
      <c r="O42" s="3"/>
      <c r="P42" s="3"/>
      <c r="Q42" s="3"/>
    </row>
    <row r="43" customFormat="false" ht="15" hidden="false" customHeight="false" outlineLevel="0" collapsed="false">
      <c r="A43" s="8"/>
      <c r="B43" s="57"/>
      <c r="C43" s="57"/>
      <c r="D43" s="57"/>
      <c r="E43" s="57"/>
      <c r="F43" s="3"/>
      <c r="G43" s="5"/>
      <c r="H43" s="3"/>
      <c r="I43" s="3"/>
      <c r="J43" s="3"/>
      <c r="K43" s="3"/>
      <c r="L43" s="3"/>
      <c r="M43" s="3"/>
      <c r="N43" s="3"/>
      <c r="O43" s="3"/>
      <c r="P43" s="3"/>
      <c r="Q43" s="3"/>
    </row>
    <row r="44" customFormat="false" ht="24.75" hidden="false" customHeight="true" outlineLevel="0" collapsed="false">
      <c r="A44" s="8"/>
      <c r="B44" s="58" t="s">
        <v>55</v>
      </c>
      <c r="C44" s="58"/>
      <c r="D44" s="58"/>
      <c r="E44" s="58"/>
      <c r="F44" s="3"/>
      <c r="G44" s="5"/>
      <c r="H44" s="3"/>
      <c r="I44" s="3"/>
      <c r="J44" s="3"/>
      <c r="K44" s="3"/>
      <c r="L44" s="3"/>
      <c r="M44" s="3"/>
      <c r="N44" s="3"/>
      <c r="O44" s="3"/>
      <c r="P44" s="3"/>
      <c r="Q44" s="3"/>
    </row>
    <row r="45" customFormat="false" ht="20.25" hidden="false" customHeight="true" outlineLevel="0" collapsed="false">
      <c r="A45" s="8"/>
      <c r="B45" s="15" t="s">
        <v>56</v>
      </c>
      <c r="C45" s="59" t="n">
        <f aca="false">R_2*(VDD_VEE-2.5)/2.5</f>
        <v>90</v>
      </c>
      <c r="D45" s="27" t="s">
        <v>26</v>
      </c>
      <c r="E45" s="40"/>
      <c r="F45" s="3"/>
      <c r="G45" s="5"/>
      <c r="H45" s="3"/>
      <c r="I45" s="3"/>
      <c r="J45" s="3"/>
      <c r="K45" s="3"/>
      <c r="L45" s="3"/>
      <c r="M45" s="3"/>
      <c r="N45" s="3"/>
      <c r="O45" s="3"/>
      <c r="P45" s="3"/>
      <c r="Q45" s="3"/>
    </row>
    <row r="46" customFormat="false" ht="20.25" hidden="false" customHeight="true" outlineLevel="0" collapsed="false">
      <c r="A46" s="8"/>
      <c r="B46" s="20" t="str">
        <f aca="false">IF(COM_VEE&lt;2.5,"COM_VEE &lt; 2.5V: Bot feedback resistor between FBVEE and COM, RFBVEE_COM =",(IF(COM_VEE&gt;2.5,"COM_VEE &gt; 2.5V: Top feedback resistor between FBVEE and COM, RFBVEE_COM =","COM_VEE = 2.5V: Single feedback resistor between FBVEE and COM, RFBVEE_COM =")))</f>
        <v>COM_VEE &gt; 2.5V: Top feedback resistor between FBVEE and COM, RFBVEE_COM =</v>
      </c>
      <c r="C46" s="60" t="n">
        <f aca="false">IF(COM_VEE&lt;2.5,R_4*(2.5-COM_VEE)/(VDD_VEE-2.5),(IF(COM_VEE&gt;2.5,R_4*(COM_VEE-2.5)/2.5,R_4)))</f>
        <v>60</v>
      </c>
      <c r="D46" s="35" t="s">
        <v>26</v>
      </c>
      <c r="E46" s="22"/>
      <c r="F46" s="3"/>
      <c r="G46" s="5"/>
      <c r="H46" s="3"/>
      <c r="I46" s="3"/>
      <c r="J46" s="3"/>
      <c r="K46" s="3"/>
      <c r="L46" s="3"/>
      <c r="M46" s="3"/>
      <c r="N46" s="3"/>
      <c r="O46" s="3"/>
      <c r="P46" s="3"/>
      <c r="Q46" s="3"/>
    </row>
    <row r="47" customFormat="false" ht="24.75" hidden="false" customHeight="true" outlineLevel="0" collapsed="false">
      <c r="A47" s="8"/>
      <c r="B47" s="58" t="s">
        <v>57</v>
      </c>
      <c r="C47" s="58"/>
      <c r="D47" s="58"/>
      <c r="E47" s="58"/>
      <c r="F47" s="3"/>
      <c r="G47" s="5"/>
      <c r="H47" s="3"/>
      <c r="I47" s="3"/>
      <c r="J47" s="3"/>
      <c r="K47" s="3"/>
      <c r="L47" s="3"/>
      <c r="M47" s="3"/>
      <c r="N47" s="3"/>
      <c r="O47" s="3"/>
      <c r="P47" s="3"/>
      <c r="Q47" s="3"/>
    </row>
    <row r="48" customFormat="false" ht="19.5" hidden="false" customHeight="true" outlineLevel="0" collapsed="false">
      <c r="A48" s="8"/>
      <c r="B48" s="37" t="s">
        <v>58</v>
      </c>
      <c r="C48" s="61" t="n">
        <f aca="false">10^6*(G50*(Qgtot/10^6)*(G50^3+SQRT(G51)+G50^2*SQRT(G51)-1))/(G15*(G50+1)^2*G51)</f>
        <v>1.06728441680504</v>
      </c>
      <c r="D48" s="38" t="s">
        <v>59</v>
      </c>
      <c r="E48" s="28"/>
      <c r="F48" s="3"/>
      <c r="G48" s="5"/>
      <c r="H48" s="3"/>
      <c r="I48" s="3"/>
      <c r="J48" s="3"/>
      <c r="K48" s="3"/>
      <c r="L48" s="3"/>
      <c r="M48" s="3"/>
      <c r="N48" s="3"/>
      <c r="O48" s="3"/>
      <c r="P48" s="3"/>
      <c r="Q48" s="3"/>
    </row>
    <row r="49" customFormat="false" ht="45.75" hidden="false" customHeight="true" outlineLevel="0" collapsed="false">
      <c r="A49" s="8"/>
      <c r="B49" s="25" t="s">
        <v>60</v>
      </c>
      <c r="C49" s="62" t="n">
        <v>10</v>
      </c>
      <c r="D49" s="27" t="s">
        <v>59</v>
      </c>
      <c r="E49" s="40" t="s">
        <v>61</v>
      </c>
      <c r="F49" s="3"/>
      <c r="G49" s="5"/>
      <c r="H49" s="3"/>
      <c r="I49" s="3"/>
      <c r="J49" s="3"/>
      <c r="K49" s="3"/>
      <c r="L49" s="3"/>
      <c r="M49" s="3"/>
      <c r="N49" s="3"/>
      <c r="O49" s="3"/>
      <c r="P49" s="3"/>
      <c r="Q49" s="3"/>
    </row>
    <row r="50" customFormat="false" ht="19.5" hidden="false" customHeight="true" outlineLevel="0" collapsed="false">
      <c r="A50" s="8"/>
      <c r="B50" s="63" t="s">
        <v>62</v>
      </c>
      <c r="C50" s="61" t="n">
        <f aca="false">(G50*Qgtot-(1+G50)*C49*G15+SQRT(C49^2*G15^2*(G50^2+2*G50+1)+2*C49*G50*Qgtot*G15*(1-G50)+G50^2*Qgtot^2))/(2*G50*G15)</f>
        <v>0.966802442865468</v>
      </c>
      <c r="D50" s="27" t="s">
        <v>63</v>
      </c>
      <c r="E50" s="28"/>
      <c r="F50" s="3"/>
      <c r="G50" s="5" t="n">
        <f aca="false">(G14*(G39-I_COM_VEE/1000))/(COM_VEE*(G39-I_VDD_COM/1000))</f>
        <v>1.5</v>
      </c>
      <c r="I50" s="3" t="s">
        <v>64</v>
      </c>
      <c r="J50" s="3"/>
      <c r="K50" s="3"/>
      <c r="L50" s="3"/>
      <c r="M50" s="3"/>
      <c r="N50" s="3"/>
      <c r="O50" s="3"/>
      <c r="P50" s="3"/>
      <c r="Q50" s="3"/>
    </row>
    <row r="51" customFormat="false" ht="39.55" hidden="false" customHeight="false" outlineLevel="0" collapsed="false">
      <c r="A51" s="8"/>
      <c r="B51" s="25" t="s">
        <v>65</v>
      </c>
      <c r="C51" s="62" t="n">
        <v>4.7</v>
      </c>
      <c r="D51" s="27" t="s">
        <v>63</v>
      </c>
      <c r="E51" s="40" t="s">
        <v>66</v>
      </c>
      <c r="F51" s="3"/>
      <c r="G51" s="5" t="n">
        <f aca="false">G50^2+G50+1</f>
        <v>4.75</v>
      </c>
      <c r="I51" s="3" t="s">
        <v>67</v>
      </c>
      <c r="J51" s="3"/>
      <c r="K51" s="3"/>
      <c r="L51" s="3"/>
      <c r="M51" s="3"/>
      <c r="N51" s="3"/>
      <c r="O51" s="3"/>
      <c r="P51" s="3"/>
      <c r="Q51" s="3"/>
    </row>
    <row r="52" customFormat="false" ht="20.25" hidden="false" customHeight="true" outlineLevel="0" collapsed="false">
      <c r="A52" s="8"/>
      <c r="B52" s="15" t="s">
        <v>68</v>
      </c>
      <c r="C52" s="64" t="n">
        <f aca="false">COUT2*G50</f>
        <v>7.05</v>
      </c>
      <c r="D52" s="17" t="s">
        <v>63</v>
      </c>
      <c r="E52" s="24"/>
      <c r="F52" s="3"/>
      <c r="G52" s="5"/>
      <c r="H52" s="3"/>
      <c r="I52" s="3"/>
      <c r="J52" s="3"/>
      <c r="K52" s="3"/>
      <c r="L52" s="3"/>
      <c r="M52" s="3"/>
      <c r="N52" s="3"/>
      <c r="O52" s="3"/>
      <c r="P52" s="3"/>
      <c r="Q52" s="3"/>
    </row>
    <row r="53" customFormat="false" ht="51.75" hidden="false" customHeight="true" outlineLevel="0" collapsed="false">
      <c r="A53" s="8"/>
      <c r="B53" s="65" t="s">
        <v>69</v>
      </c>
      <c r="C53" s="66" t="n">
        <v>12</v>
      </c>
      <c r="D53" s="53" t="s">
        <v>63</v>
      </c>
      <c r="E53" s="67" t="s">
        <v>70</v>
      </c>
      <c r="F53" s="3"/>
      <c r="G53" s="5"/>
      <c r="H53" s="3"/>
      <c r="I53" s="3"/>
      <c r="J53" s="3"/>
      <c r="K53" s="3"/>
      <c r="L53" s="3"/>
      <c r="M53" s="3"/>
      <c r="N53" s="3"/>
      <c r="O53" s="3"/>
      <c r="P53" s="3"/>
      <c r="Q53" s="3"/>
    </row>
    <row r="54" customFormat="false" ht="24.75" hidden="false" customHeight="true" outlineLevel="0" collapsed="false">
      <c r="A54" s="8"/>
      <c r="B54" s="58" t="s">
        <v>71</v>
      </c>
      <c r="C54" s="58"/>
      <c r="D54" s="58"/>
      <c r="E54" s="58"/>
      <c r="F54" s="3"/>
      <c r="G54" s="5"/>
      <c r="H54" s="3"/>
      <c r="I54" s="3"/>
      <c r="J54" s="3"/>
      <c r="K54" s="3"/>
      <c r="L54" s="3"/>
      <c r="M54" s="3"/>
      <c r="N54" s="3"/>
      <c r="O54" s="3"/>
      <c r="P54" s="3"/>
      <c r="Q54" s="3"/>
    </row>
    <row r="55" customFormat="false" ht="15.75" hidden="false" customHeight="true" outlineLevel="0" collapsed="false">
      <c r="A55" s="8"/>
      <c r="B55" s="15" t="s">
        <v>72</v>
      </c>
      <c r="C55" s="68" t="n">
        <f aca="false">MIN(RLIM_UP,RLIM_DN, G57)</f>
        <v>2143.91304347826</v>
      </c>
      <c r="D55" s="69" t="s">
        <v>73</v>
      </c>
      <c r="E55" s="24"/>
      <c r="F55" s="3"/>
      <c r="G55" s="5" t="n">
        <f aca="false">((VDD_VEE-COM_VEE)/((COUT3*0.000001*(1+dCOUT3_POS*0.01)*(0.1*(COM_VEE))/0.003)+ABS(ILIM_UP*10^-3)))-30</f>
        <v>2935.73723792183</v>
      </c>
      <c r="H55" s="3" t="s">
        <v>73</v>
      </c>
      <c r="I55" s="3" t="s">
        <v>74</v>
      </c>
      <c r="J55" s="3"/>
      <c r="K55" s="3"/>
      <c r="L55" s="3"/>
      <c r="M55" s="3"/>
      <c r="N55" s="3"/>
      <c r="O55" s="3"/>
      <c r="P55" s="3"/>
      <c r="Q55" s="3"/>
    </row>
    <row r="56" customFormat="false" ht="13.5" hidden="false" customHeight="true" outlineLevel="0" collapsed="false">
      <c r="A56" s="3"/>
      <c r="B56" s="15"/>
      <c r="C56" s="68"/>
      <c r="D56" s="69"/>
      <c r="E56" s="24"/>
      <c r="F56" s="3"/>
      <c r="G56" s="5" t="n">
        <f aca="false">(COM_VEE/ABS(ILIM_DN*10^-3))-30</f>
        <v>19126.8384437152</v>
      </c>
      <c r="H56" s="3" t="s">
        <v>73</v>
      </c>
      <c r="I56" s="3" t="s">
        <v>75</v>
      </c>
      <c r="J56" s="3"/>
      <c r="K56" s="3"/>
      <c r="L56" s="3"/>
      <c r="M56" s="3"/>
      <c r="N56" s="3"/>
      <c r="O56" s="3"/>
      <c r="P56" s="3"/>
      <c r="Q56" s="3"/>
    </row>
    <row r="57" customFormat="false" ht="13.5" hidden="false" customHeight="true" outlineLevel="0" collapsed="false">
      <c r="A57" s="3"/>
      <c r="B57" s="15"/>
      <c r="C57" s="68"/>
      <c r="D57" s="69"/>
      <c r="E57" s="24"/>
      <c r="F57" s="3"/>
      <c r="G57" s="5" t="n">
        <f aca="false">(COM_VEE/((COUT3*0.000001*(1+dCOUT3_POS*0.01)*(0.1*COM_VEE)/0.003)+(I_VDD_COM-I_COM_VEE)*0.001))-30</f>
        <v>2143.91304347826</v>
      </c>
      <c r="H57" s="3" t="s">
        <v>73</v>
      </c>
      <c r="I57" s="3" t="s">
        <v>76</v>
      </c>
      <c r="J57" s="3"/>
      <c r="K57" s="3"/>
      <c r="L57" s="3"/>
      <c r="M57" s="3"/>
      <c r="N57" s="3"/>
      <c r="O57" s="3"/>
      <c r="P57" s="3"/>
      <c r="Q57" s="3"/>
    </row>
    <row r="58" customFormat="false" ht="26.85" hidden="false" customHeight="false" outlineLevel="0" collapsed="false">
      <c r="A58" s="3"/>
      <c r="B58" s="15" t="s">
        <v>77</v>
      </c>
      <c r="C58" s="23" t="n">
        <v>2000</v>
      </c>
      <c r="D58" s="69" t="s">
        <v>73</v>
      </c>
      <c r="E58" s="40" t="s">
        <v>78</v>
      </c>
      <c r="F58" s="3"/>
      <c r="G58" s="5"/>
      <c r="H58" s="3"/>
      <c r="I58" s="3"/>
      <c r="J58" s="3"/>
      <c r="K58" s="3"/>
      <c r="L58" s="3"/>
      <c r="M58" s="3"/>
      <c r="N58" s="3"/>
      <c r="O58" s="3"/>
      <c r="P58" s="3"/>
      <c r="Q58" s="3"/>
    </row>
    <row r="59" customFormat="false" ht="15" hidden="false" customHeight="false" outlineLevel="0" collapsed="false">
      <c r="A59" s="3"/>
      <c r="B59" s="70" t="s">
        <v>79</v>
      </c>
      <c r="C59" s="71" t="n">
        <f aca="false">G14^2/C58*0.33+(ILIM_MAX*10^-3)^2*C58</f>
        <v>0.0376699822056731</v>
      </c>
      <c r="D59" s="72" t="s">
        <v>42</v>
      </c>
      <c r="E59" s="73" t="s">
        <v>80</v>
      </c>
      <c r="F59" s="3"/>
      <c r="G59" s="5"/>
      <c r="H59" s="3"/>
      <c r="I59" s="3"/>
      <c r="J59" s="3"/>
      <c r="K59" s="3"/>
      <c r="L59" s="3"/>
      <c r="M59" s="3"/>
      <c r="N59" s="3"/>
      <c r="O59" s="3"/>
      <c r="P59" s="3"/>
      <c r="Q59" s="3"/>
    </row>
    <row r="60" customFormat="false" ht="24.75" hidden="false" customHeight="true" outlineLevel="0" collapsed="false">
      <c r="A60" s="3"/>
      <c r="B60" s="58" t="s">
        <v>81</v>
      </c>
      <c r="C60" s="58"/>
      <c r="D60" s="58"/>
      <c r="E60" s="58"/>
      <c r="F60" s="3"/>
      <c r="G60" s="5"/>
      <c r="H60" s="3"/>
      <c r="I60" s="3"/>
      <c r="J60" s="3"/>
      <c r="K60" s="3"/>
      <c r="L60" s="3"/>
      <c r="M60" s="3"/>
      <c r="N60" s="3"/>
      <c r="O60" s="3"/>
      <c r="P60" s="3"/>
      <c r="Q60" s="3"/>
    </row>
    <row r="61" customFormat="false" ht="26.25" hidden="false" customHeight="true" outlineLevel="0" collapsed="false">
      <c r="A61" s="3"/>
      <c r="B61" s="74" t="s">
        <v>82</v>
      </c>
      <c r="C61" s="75" t="n">
        <f aca="false">RLIM_UP</f>
        <v>2935.73723792183</v>
      </c>
      <c r="D61" s="69" t="s">
        <v>73</v>
      </c>
      <c r="E61" s="76"/>
      <c r="F61" s="3"/>
      <c r="G61" s="77" t="n">
        <f aca="false">COM_VEE/RLIM</f>
        <v>0.005</v>
      </c>
      <c r="H61" s="1" t="s">
        <v>51</v>
      </c>
      <c r="I61" s="3" t="s">
        <v>83</v>
      </c>
      <c r="J61" s="3"/>
      <c r="K61" s="3"/>
      <c r="L61" s="3"/>
      <c r="M61" s="3"/>
      <c r="N61" s="3"/>
      <c r="O61" s="3"/>
      <c r="P61" s="3"/>
      <c r="Q61" s="3"/>
    </row>
    <row r="62" customFormat="false" ht="32.25" hidden="false" customHeight="true" outlineLevel="0" collapsed="false">
      <c r="A62" s="8"/>
      <c r="B62" s="15" t="s">
        <v>84</v>
      </c>
      <c r="C62" s="23" t="n">
        <v>2000</v>
      </c>
      <c r="D62" s="69" t="s">
        <v>73</v>
      </c>
      <c r="E62" s="40" t="s">
        <v>85</v>
      </c>
      <c r="F62" s="3"/>
      <c r="G62" s="77" t="n">
        <f aca="false">(COM_VEE-0.5)/C65</f>
        <v>0.00139705882352941</v>
      </c>
      <c r="H62" s="1" t="s">
        <v>51</v>
      </c>
      <c r="I62" s="3" t="s">
        <v>83</v>
      </c>
      <c r="J62" s="3"/>
      <c r="K62" s="3"/>
      <c r="L62" s="3"/>
      <c r="M62" s="3"/>
      <c r="N62" s="3"/>
      <c r="O62" s="3"/>
      <c r="P62" s="3"/>
      <c r="Q62" s="3"/>
    </row>
    <row r="63" customFormat="false" ht="32.25" hidden="false" customHeight="true" outlineLevel="0" collapsed="false">
      <c r="A63" s="8"/>
      <c r="B63" s="78" t="s">
        <v>86</v>
      </c>
      <c r="C63" s="79" t="n">
        <f aca="false">(G14^2/RLIM)*0.33+(ILIM_DN/1000*G63)^2*RLIM</f>
        <v>0.0374579366784294</v>
      </c>
      <c r="D63" s="80" t="s">
        <v>42</v>
      </c>
      <c r="E63" s="81" t="s">
        <v>87</v>
      </c>
      <c r="F63" s="3"/>
      <c r="G63" s="82" t="n">
        <f aca="false">G61/(G61+G62)</f>
        <v>0.781609195402299</v>
      </c>
      <c r="I63" s="3" t="s">
        <v>88</v>
      </c>
      <c r="J63" s="3"/>
      <c r="K63" s="3"/>
      <c r="L63" s="3"/>
      <c r="M63" s="3"/>
      <c r="N63" s="3"/>
      <c r="O63" s="3"/>
      <c r="P63" s="3"/>
      <c r="Q63" s="3"/>
    </row>
    <row r="64" customFormat="false" ht="32.25" hidden="false" customHeight="true" outlineLevel="0" collapsed="false">
      <c r="A64" s="8"/>
      <c r="B64" s="74" t="s">
        <v>89</v>
      </c>
      <c r="C64" s="75" t="n">
        <f aca="false">(COM_VEE-0.5)/(COM_VEE*(1/MIN(RLIM_DN, G57)-1/RLIM_UP))</f>
        <v>7551.25586049681</v>
      </c>
      <c r="D64" s="69" t="s">
        <v>73</v>
      </c>
      <c r="E64" s="40"/>
      <c r="F64" s="3"/>
      <c r="G64" s="83"/>
      <c r="H64" s="3"/>
      <c r="I64" s="3"/>
      <c r="J64" s="3"/>
      <c r="K64" s="3"/>
      <c r="L64" s="3"/>
      <c r="M64" s="3"/>
      <c r="N64" s="3"/>
      <c r="O64" s="3"/>
      <c r="P64" s="3"/>
      <c r="Q64" s="3"/>
    </row>
    <row r="65" customFormat="false" ht="32.25" hidden="false" customHeight="true" outlineLevel="0" collapsed="false">
      <c r="A65" s="8"/>
      <c r="B65" s="15" t="s">
        <v>90</v>
      </c>
      <c r="C65" s="23" t="n">
        <v>6800</v>
      </c>
      <c r="D65" s="69" t="s">
        <v>73</v>
      </c>
      <c r="E65" s="84" t="s">
        <v>91</v>
      </c>
      <c r="F65" s="3"/>
      <c r="G65" s="77"/>
      <c r="H65" s="3"/>
      <c r="I65" s="3"/>
      <c r="J65" s="3"/>
      <c r="K65" s="3"/>
      <c r="L65" s="3"/>
      <c r="M65" s="3"/>
      <c r="N65" s="3"/>
      <c r="O65" s="3"/>
      <c r="P65" s="3"/>
      <c r="Q65" s="3"/>
    </row>
    <row r="66" customFormat="false" ht="20.25" hidden="false" customHeight="true" outlineLevel="0" collapsed="false">
      <c r="A66" s="8"/>
      <c r="B66" s="70" t="s">
        <v>92</v>
      </c>
      <c r="C66" s="71" t="n">
        <f aca="false">(ILIM_MAX*10^-3*G66)^2*C65</f>
        <v>8.8375103612517E-005</v>
      </c>
      <c r="D66" s="72" t="s">
        <v>42</v>
      </c>
      <c r="E66" s="73" t="s">
        <v>93</v>
      </c>
      <c r="F66" s="3"/>
      <c r="G66" s="82" t="n">
        <f aca="false">G62/(G61+G62)</f>
        <v>0.218390804597701</v>
      </c>
      <c r="I66" s="3" t="s">
        <v>88</v>
      </c>
      <c r="J66" s="3"/>
      <c r="K66" s="3"/>
      <c r="L66" s="3"/>
      <c r="M66" s="3"/>
      <c r="N66" s="3"/>
      <c r="O66" s="3"/>
      <c r="P66" s="3"/>
      <c r="Q66" s="3"/>
    </row>
    <row r="67" customFormat="false" ht="19.5" hidden="false" customHeight="true" outlineLevel="0" collapsed="false">
      <c r="A67" s="3"/>
      <c r="B67" s="3"/>
      <c r="C67" s="3"/>
      <c r="D67" s="3"/>
      <c r="E67" s="3"/>
      <c r="F67" s="3"/>
      <c r="G67" s="5"/>
      <c r="H67" s="3"/>
      <c r="I67" s="3"/>
      <c r="J67" s="3"/>
      <c r="K67" s="3"/>
      <c r="L67" s="3"/>
      <c r="M67" s="3"/>
      <c r="N67" s="3"/>
      <c r="O67" s="3"/>
      <c r="P67" s="3"/>
      <c r="Q67" s="3"/>
    </row>
    <row r="68" customFormat="false" ht="15" hidden="false" customHeight="false" outlineLevel="0" collapsed="false">
      <c r="A68" s="8"/>
      <c r="B68" s="85" t="s">
        <v>94</v>
      </c>
      <c r="C68" s="85"/>
      <c r="D68" s="85"/>
      <c r="E68" s="85"/>
      <c r="F68" s="3"/>
      <c r="G68" s="5"/>
      <c r="H68" s="3"/>
      <c r="I68" s="3"/>
      <c r="J68" s="3"/>
      <c r="K68" s="3"/>
      <c r="L68" s="3"/>
      <c r="M68" s="3"/>
      <c r="N68" s="3"/>
      <c r="O68" s="3"/>
      <c r="P68" s="3"/>
      <c r="Q68" s="3"/>
    </row>
    <row r="69" customFormat="false" ht="15" hidden="false" customHeight="false" outlineLevel="0" collapsed="false">
      <c r="A69" s="8"/>
      <c r="B69" s="85"/>
      <c r="C69" s="85"/>
      <c r="D69" s="85"/>
      <c r="E69" s="85"/>
      <c r="F69" s="3"/>
      <c r="G69" s="5"/>
      <c r="H69" s="3"/>
      <c r="I69" s="3"/>
      <c r="J69" s="3"/>
      <c r="K69" s="3"/>
      <c r="L69" s="3"/>
      <c r="M69" s="3"/>
      <c r="N69" s="3"/>
      <c r="O69" s="3"/>
      <c r="P69" s="3"/>
      <c r="Q69" s="3"/>
    </row>
    <row r="70" customFormat="false" ht="20.25" hidden="false" customHeight="true" outlineLevel="0" collapsed="false">
      <c r="A70" s="8"/>
      <c r="B70" s="86" t="s">
        <v>95</v>
      </c>
      <c r="C70" s="87" t="n">
        <v>330</v>
      </c>
      <c r="D70" s="88" t="s">
        <v>96</v>
      </c>
      <c r="E70" s="89" t="s">
        <v>97</v>
      </c>
      <c r="F70" s="3"/>
      <c r="G70" s="5"/>
      <c r="H70" s="3"/>
      <c r="I70" s="3"/>
      <c r="J70" s="3"/>
      <c r="K70" s="3"/>
      <c r="L70" s="3"/>
      <c r="M70" s="3"/>
      <c r="N70" s="3"/>
      <c r="O70" s="3"/>
      <c r="P70" s="3"/>
      <c r="Q70" s="3"/>
    </row>
    <row r="71" customFormat="false" ht="20.25" hidden="false" customHeight="true" outlineLevel="0" collapsed="false">
      <c r="A71" s="8"/>
      <c r="B71" s="15" t="s">
        <v>98</v>
      </c>
      <c r="C71" s="59" t="n">
        <v>330</v>
      </c>
      <c r="D71" s="17" t="s">
        <v>96</v>
      </c>
      <c r="E71" s="89"/>
      <c r="F71" s="3"/>
      <c r="G71" s="5"/>
      <c r="H71" s="3"/>
      <c r="I71" s="3"/>
      <c r="J71" s="3"/>
      <c r="K71" s="3"/>
      <c r="L71" s="3"/>
      <c r="M71" s="3"/>
      <c r="N71" s="3"/>
      <c r="O71" s="3"/>
      <c r="P71" s="3"/>
      <c r="Q71" s="3"/>
    </row>
    <row r="72" customFormat="false" ht="20.25" hidden="false" customHeight="true" outlineLevel="0" collapsed="false">
      <c r="A72" s="8"/>
      <c r="B72" s="15" t="s">
        <v>99</v>
      </c>
      <c r="C72" s="59" t="s">
        <v>100</v>
      </c>
      <c r="D72" s="17" t="s">
        <v>63</v>
      </c>
      <c r="E72" s="89"/>
      <c r="F72" s="3"/>
      <c r="G72" s="5"/>
      <c r="H72" s="3"/>
      <c r="I72" s="3"/>
      <c r="J72" s="3"/>
      <c r="K72" s="3"/>
      <c r="L72" s="3"/>
      <c r="M72" s="3"/>
      <c r="N72" s="3"/>
      <c r="O72" s="3"/>
      <c r="P72" s="3"/>
      <c r="Q72" s="3"/>
    </row>
    <row r="73" customFormat="false" ht="20.25" hidden="false" customHeight="true" outlineLevel="0" collapsed="false">
      <c r="A73" s="8"/>
      <c r="B73" s="51" t="s">
        <v>101</v>
      </c>
      <c r="C73" s="90" t="s">
        <v>102</v>
      </c>
      <c r="D73" s="91" t="s">
        <v>63</v>
      </c>
      <c r="E73" s="89"/>
      <c r="F73" s="3"/>
      <c r="G73" s="5"/>
      <c r="H73" s="3"/>
      <c r="I73" s="3"/>
      <c r="J73" s="3"/>
      <c r="K73" s="3"/>
      <c r="L73" s="3"/>
      <c r="M73" s="3"/>
      <c r="N73" s="3"/>
      <c r="O73" s="3"/>
      <c r="P73" s="3"/>
      <c r="Q73" s="3"/>
    </row>
    <row r="74" customFormat="false" ht="15" hidden="false" customHeight="false" outlineLevel="0" collapsed="false">
      <c r="A74" s="3"/>
      <c r="B74" s="3"/>
      <c r="C74" s="3"/>
      <c r="D74" s="3"/>
      <c r="E74" s="3"/>
      <c r="F74" s="3"/>
      <c r="G74" s="5"/>
      <c r="H74" s="3"/>
      <c r="I74" s="3"/>
      <c r="J74" s="3"/>
      <c r="K74" s="3"/>
      <c r="L74" s="3"/>
      <c r="M74" s="3"/>
      <c r="N74" s="3"/>
      <c r="O74" s="3"/>
      <c r="P74" s="3"/>
      <c r="Q74" s="3"/>
    </row>
    <row r="75" customFormat="false" ht="15" hidden="false" customHeight="false" outlineLevel="0" collapsed="false">
      <c r="A75" s="3"/>
      <c r="B75" s="3" t="s">
        <v>103</v>
      </c>
      <c r="C75" s="3"/>
      <c r="D75" s="3"/>
      <c r="E75" s="3"/>
      <c r="F75" s="3"/>
      <c r="G75" s="5"/>
      <c r="H75" s="3"/>
      <c r="I75" s="3"/>
      <c r="J75" s="3"/>
      <c r="K75" s="3"/>
      <c r="L75" s="3"/>
      <c r="M75" s="3"/>
      <c r="N75" s="3"/>
      <c r="O75" s="3"/>
      <c r="P75" s="3"/>
      <c r="Q75" s="3"/>
    </row>
    <row r="76" customFormat="false" ht="15" hidden="false" customHeight="false" outlineLevel="0" collapsed="false">
      <c r="A76" s="3"/>
      <c r="B76" s="3" t="s">
        <v>104</v>
      </c>
      <c r="C76" s="3"/>
      <c r="D76" s="3"/>
      <c r="E76" s="3"/>
      <c r="F76" s="3"/>
      <c r="G76" s="5"/>
      <c r="H76" s="3"/>
      <c r="I76" s="3"/>
      <c r="J76" s="3"/>
      <c r="K76" s="3"/>
      <c r="L76" s="3"/>
      <c r="M76" s="3"/>
      <c r="N76" s="3"/>
      <c r="O76" s="3"/>
      <c r="P76" s="3"/>
      <c r="Q76" s="3"/>
    </row>
    <row r="77" customFormat="false" ht="15" hidden="false" customHeight="false" outlineLevel="0" collapsed="false">
      <c r="A77" s="3"/>
      <c r="B77" s="3" t="s">
        <v>105</v>
      </c>
      <c r="C77" s="3"/>
      <c r="D77" s="3"/>
      <c r="E77" s="3"/>
      <c r="F77" s="3"/>
      <c r="G77" s="5"/>
      <c r="H77" s="3"/>
      <c r="I77" s="3"/>
      <c r="J77" s="3"/>
      <c r="K77" s="3"/>
      <c r="L77" s="3"/>
      <c r="M77" s="3"/>
      <c r="N77" s="3"/>
      <c r="O77" s="3"/>
      <c r="P77" s="3"/>
      <c r="Q77" s="3"/>
    </row>
    <row r="78" customFormat="false" ht="15" hidden="false" customHeight="false" outlineLevel="0" collapsed="false">
      <c r="A78" s="3"/>
      <c r="B78" s="3" t="s">
        <v>106</v>
      </c>
      <c r="C78" s="3"/>
      <c r="D78" s="3"/>
      <c r="E78" s="3"/>
      <c r="F78" s="3"/>
      <c r="G78" s="5"/>
      <c r="H78" s="3"/>
      <c r="I78" s="3"/>
      <c r="J78" s="3"/>
      <c r="K78" s="3"/>
      <c r="L78" s="3"/>
      <c r="M78" s="3"/>
      <c r="N78" s="3"/>
      <c r="O78" s="3"/>
      <c r="P78" s="3"/>
      <c r="Q78" s="3"/>
    </row>
    <row r="79" customFormat="false" ht="15" hidden="false" customHeight="false" outlineLevel="0" collapsed="false">
      <c r="A79" s="3"/>
      <c r="B79" s="3"/>
      <c r="C79" s="3"/>
      <c r="D79" s="3"/>
      <c r="E79" s="3"/>
      <c r="F79" s="3"/>
      <c r="G79" s="5"/>
      <c r="H79" s="3"/>
      <c r="I79" s="3"/>
      <c r="J79" s="3"/>
      <c r="K79" s="3"/>
      <c r="L79" s="3"/>
      <c r="M79" s="3"/>
      <c r="N79" s="3"/>
      <c r="O79" s="3"/>
      <c r="P79" s="3"/>
      <c r="Q79" s="3"/>
    </row>
    <row r="80" customFormat="false" ht="15" hidden="false" customHeight="false" outlineLevel="0" collapsed="false">
      <c r="A80" s="3"/>
      <c r="B80" s="3"/>
      <c r="C80" s="3"/>
      <c r="D80" s="3"/>
      <c r="E80" s="3"/>
      <c r="F80" s="3"/>
      <c r="G80" s="5"/>
      <c r="H80" s="3"/>
      <c r="I80" s="3"/>
      <c r="J80" s="3"/>
      <c r="K80" s="3"/>
      <c r="L80" s="3"/>
      <c r="M80" s="3"/>
      <c r="N80" s="3"/>
      <c r="O80" s="3"/>
      <c r="P80" s="3"/>
      <c r="Q80" s="3"/>
    </row>
    <row r="81" customFormat="false" ht="15" hidden="false" customHeight="false" outlineLevel="0" collapsed="false">
      <c r="A81" s="3"/>
      <c r="B81" s="3"/>
      <c r="C81" s="3"/>
      <c r="D81" s="3"/>
      <c r="E81" s="3"/>
      <c r="F81" s="3"/>
      <c r="G81" s="5"/>
      <c r="H81" s="3"/>
      <c r="I81" s="3"/>
      <c r="J81" s="3"/>
      <c r="K81" s="3"/>
      <c r="L81" s="3"/>
      <c r="M81" s="3"/>
      <c r="N81" s="3"/>
      <c r="O81" s="3"/>
      <c r="P81" s="3"/>
      <c r="Q81" s="3"/>
    </row>
  </sheetData>
  <sheetProtection algorithmName="SHA-512" hashValue="n3rGiTNXdgf5AQHN5zslG7UVU5SMFnubxbu/WpP9y5hcp2oEK9oHlRz9v0HC18fs4omgRSGuEsr2KIhkQj72yg==" saltValue="nOFcgKBB99P5lSHW5ND7Kg==" spinCount="100000" sheet="true" selectLockedCells="true"/>
  <mergeCells count="27">
    <mergeCell ref="B1:E1"/>
    <mergeCell ref="B2:E2"/>
    <mergeCell ref="B3:E6"/>
    <mergeCell ref="B7:E7"/>
    <mergeCell ref="B8:E8"/>
    <mergeCell ref="B9:E9"/>
    <mergeCell ref="B10:E10"/>
    <mergeCell ref="B11:E12"/>
    <mergeCell ref="B30:B31"/>
    <mergeCell ref="C30:C31"/>
    <mergeCell ref="D30:D31"/>
    <mergeCell ref="E30:E31"/>
    <mergeCell ref="B32:B33"/>
    <mergeCell ref="C32:C33"/>
    <mergeCell ref="D32:D33"/>
    <mergeCell ref="E32:E33"/>
    <mergeCell ref="B42:E43"/>
    <mergeCell ref="B44:E44"/>
    <mergeCell ref="B47:E47"/>
    <mergeCell ref="B54:E54"/>
    <mergeCell ref="B55:B57"/>
    <mergeCell ref="C55:C57"/>
    <mergeCell ref="D55:D57"/>
    <mergeCell ref="E55:E57"/>
    <mergeCell ref="B60:E60"/>
    <mergeCell ref="B68:E69"/>
    <mergeCell ref="E70:E73"/>
  </mergeCells>
  <conditionalFormatting sqref="B24 D24:E24 B46 D46:E46">
    <cfRule type="expression" priority="2" aboveAverage="0" equalAverage="0" bottom="0" percent="0" rank="0" text="" dxfId="0">
      <formula>$C$14=2.5</formula>
    </cfRule>
  </conditionalFormatting>
  <conditionalFormatting sqref="B24 D24:E24 B46 D46:E46">
    <cfRule type="expression" priority="3" aboveAverage="0" equalAverage="0" bottom="0" percent="0" rank="0" text="" dxfId="1">
      <formula>$C$14&lt;2.5</formula>
    </cfRule>
  </conditionalFormatting>
  <conditionalFormatting sqref="D14:E14 B14">
    <cfRule type="expression" priority="4" aboveAverage="0" equalAverage="0" bottom="0" percent="0" rank="0" text="" dxfId="2">
      <formula>$C$14=2.5</formula>
    </cfRule>
    <cfRule type="expression" priority="5" aboveAverage="0" equalAverage="0" bottom="0" percent="0" rank="0" text="" dxfId="3">
      <formula>$C$14&lt;2.5</formula>
    </cfRule>
  </conditionalFormatting>
  <conditionalFormatting sqref="E49 D49 B49">
    <cfRule type="expression" priority="6" aboveAverage="0" equalAverage="0" bottom="0" percent="0" rank="0" text="" dxfId="4">
      <formula>$C$49&lt;$C$48</formula>
    </cfRule>
  </conditionalFormatting>
  <conditionalFormatting sqref="B58 D58:E58">
    <cfRule type="expression" priority="7" aboveAverage="0" equalAverage="0" bottom="0" percent="0" rank="0" text="" dxfId="5">
      <formula>$C$58&gt;$C$55</formula>
    </cfRule>
  </conditionalFormatting>
  <conditionalFormatting sqref="B65 D65 E65">
    <cfRule type="expression" priority="8" aboveAverage="0" equalAverage="0" bottom="0" percent="0" rank="0" text="" dxfId="6">
      <formula>$C$65&gt;$C$64</formula>
    </cfRule>
  </conditionalFormatting>
  <conditionalFormatting sqref="B13:B20 D13:E20">
    <cfRule type="expression" priority="9" aboveAverage="0" equalAverage="0" bottom="0" percent="0" rank="0" text="" dxfId="7">
      <formula>$C$38&gt;$C$37</formula>
    </cfRule>
  </conditionalFormatting>
  <conditionalFormatting sqref="B62 D62:E62">
    <cfRule type="expression" priority="10" aboveAverage="0" equalAverage="0" bottom="0" percent="0" rank="0" text="" dxfId="8">
      <formula>$C$62&gt;$C$61</formula>
    </cfRule>
  </conditionalFormatting>
  <conditionalFormatting sqref="B53 D53:E53">
    <cfRule type="expression" priority="11" aboveAverage="0" equalAverage="0" bottom="0" percent="0" rank="0" text="" dxfId="9">
      <formula>$C$53&lt;$C$52</formula>
    </cfRule>
  </conditionalFormatting>
  <conditionalFormatting sqref="B51 D51 E51">
    <cfRule type="expression" priority="12" aboveAverage="0" equalAverage="0" bottom="0" percent="0" rank="0" text="" dxfId="10">
      <formula>$C$51&lt;$C$50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6"/>
  <sheetViews>
    <sheetView showFormulas="false" showGridLines="true" showRowColHeaders="true" showZeros="true" rightToLeft="false" tabSelected="false" showOutlineSymbols="true" defaultGridColor="true" view="normal" topLeftCell="C1" colorId="64" zoomScale="60" zoomScaleNormal="60" zoomScalePageLayoutView="100" workbookViewId="0">
      <selection pane="topLeft" activeCell="P43" activeCellId="0" sqref="P43"/>
    </sheetView>
  </sheetViews>
  <sheetFormatPr defaultColWidth="9.00390625" defaultRowHeight="15" customHeight="false" zeroHeight="false" outlineLevelRow="0" outlineLevelCol="0"/>
  <cols>
    <col collapsed="false" customWidth="true" hidden="false" outlineLevel="0" max="1" min="1" style="1" width="5"/>
    <col collapsed="false" customWidth="true" hidden="false" outlineLevel="0" max="2" min="2" style="1" width="76.42"/>
    <col collapsed="false" customWidth="true" hidden="false" outlineLevel="0" max="3" min="3" style="1" width="49.29"/>
    <col collapsed="false" customWidth="true" hidden="false" outlineLevel="0" max="4" min="4" style="1" width="5.71"/>
    <col collapsed="false" customWidth="true" hidden="false" outlineLevel="0" max="5" min="5" style="1" width="40.29"/>
    <col collapsed="false" customWidth="true" hidden="false" outlineLevel="0" max="6" min="6" style="1" width="4.29"/>
    <col collapsed="false" customWidth="true" hidden="false" outlineLevel="0" max="7" min="7" style="1" width="12.57"/>
    <col collapsed="false" customWidth="false" hidden="false" outlineLevel="0" max="16384" min="8" style="1" width="9"/>
  </cols>
  <sheetData>
    <row r="1" customFormat="false" ht="29.15" hidden="false" customHeight="true" outlineLevel="0" collapsed="false">
      <c r="A1" s="3"/>
      <c r="B1" s="4" t="s">
        <v>107</v>
      </c>
      <c r="C1" s="4"/>
      <c r="D1" s="4"/>
      <c r="E1" s="4"/>
      <c r="F1" s="3"/>
      <c r="G1" s="3"/>
      <c r="H1" s="3"/>
      <c r="I1" s="3"/>
      <c r="J1" s="3"/>
      <c r="K1" s="3"/>
      <c r="L1" s="3"/>
      <c r="M1" s="3"/>
      <c r="N1" s="3"/>
      <c r="O1" s="3"/>
      <c r="P1" s="3"/>
      <c r="Q1" s="3"/>
      <c r="R1" s="3"/>
      <c r="S1" s="3"/>
      <c r="T1" s="3"/>
      <c r="U1" s="3"/>
      <c r="V1" s="3"/>
    </row>
    <row r="2" customFormat="false" ht="15" hidden="false" customHeight="false" outlineLevel="0" collapsed="false">
      <c r="A2" s="3"/>
      <c r="B2" s="6" t="s">
        <v>1</v>
      </c>
      <c r="C2" s="6"/>
      <c r="D2" s="6"/>
      <c r="E2" s="6"/>
      <c r="F2" s="3"/>
      <c r="G2" s="3"/>
      <c r="H2" s="3"/>
      <c r="I2" s="3"/>
      <c r="J2" s="3"/>
      <c r="K2" s="3"/>
      <c r="L2" s="3"/>
      <c r="M2" s="3"/>
      <c r="N2" s="3"/>
      <c r="O2" s="3"/>
      <c r="P2" s="3"/>
      <c r="Q2" s="3"/>
      <c r="R2" s="3"/>
      <c r="S2" s="3"/>
      <c r="T2" s="3"/>
      <c r="U2" s="3"/>
      <c r="V2" s="3"/>
    </row>
    <row r="3" customFormat="false" ht="15" hidden="false" customHeight="true" outlineLevel="0" collapsed="false">
      <c r="A3" s="3"/>
      <c r="B3" s="7" t="s">
        <v>2</v>
      </c>
      <c r="C3" s="7"/>
      <c r="D3" s="7"/>
      <c r="E3" s="7"/>
      <c r="F3" s="3"/>
      <c r="G3" s="3"/>
      <c r="H3" s="3"/>
      <c r="I3" s="3"/>
      <c r="J3" s="3"/>
      <c r="K3" s="3"/>
      <c r="L3" s="3"/>
      <c r="M3" s="3"/>
      <c r="N3" s="3"/>
      <c r="O3" s="3"/>
      <c r="P3" s="3"/>
      <c r="Q3" s="3"/>
      <c r="R3" s="3"/>
      <c r="S3" s="3"/>
      <c r="T3" s="3"/>
      <c r="U3" s="3"/>
      <c r="V3" s="3"/>
    </row>
    <row r="4" customFormat="false" ht="15" hidden="false" customHeight="false" outlineLevel="0" collapsed="false">
      <c r="A4" s="8"/>
      <c r="B4" s="7"/>
      <c r="C4" s="7"/>
      <c r="D4" s="7"/>
      <c r="E4" s="7"/>
      <c r="F4" s="3"/>
      <c r="G4" s="3"/>
      <c r="H4" s="3"/>
      <c r="I4" s="3"/>
      <c r="J4" s="3"/>
      <c r="K4" s="3"/>
      <c r="L4" s="3"/>
      <c r="M4" s="3"/>
      <c r="N4" s="3"/>
      <c r="O4" s="3"/>
      <c r="P4" s="3"/>
      <c r="Q4" s="3"/>
      <c r="R4" s="3"/>
      <c r="S4" s="3"/>
      <c r="T4" s="3"/>
      <c r="U4" s="3"/>
      <c r="V4" s="3"/>
    </row>
    <row r="5" customFormat="false" ht="15" hidden="false" customHeight="false" outlineLevel="0" collapsed="false">
      <c r="A5" s="8"/>
      <c r="B5" s="7"/>
      <c r="C5" s="7"/>
      <c r="D5" s="7"/>
      <c r="E5" s="7"/>
      <c r="F5" s="9"/>
      <c r="G5" s="3"/>
      <c r="H5" s="3"/>
      <c r="I5" s="3"/>
      <c r="J5" s="3"/>
      <c r="K5" s="3"/>
      <c r="L5" s="3"/>
      <c r="M5" s="3"/>
      <c r="N5" s="3"/>
      <c r="O5" s="3"/>
      <c r="P5" s="3"/>
      <c r="Q5" s="3"/>
      <c r="R5" s="3"/>
      <c r="S5" s="3"/>
      <c r="T5" s="3"/>
      <c r="U5" s="3"/>
      <c r="V5" s="3"/>
    </row>
    <row r="6" customFormat="false" ht="15" hidden="false" customHeight="false" outlineLevel="0" collapsed="false">
      <c r="A6" s="8"/>
      <c r="B6" s="7"/>
      <c r="C6" s="7"/>
      <c r="D6" s="7"/>
      <c r="E6" s="7"/>
      <c r="F6" s="9"/>
      <c r="G6" s="3"/>
      <c r="H6" s="3"/>
      <c r="I6" s="3"/>
      <c r="J6" s="3"/>
      <c r="K6" s="3"/>
      <c r="L6" s="3"/>
      <c r="M6" s="3"/>
      <c r="N6" s="3"/>
      <c r="O6" s="3"/>
      <c r="P6" s="3"/>
      <c r="Q6" s="3"/>
      <c r="R6" s="3"/>
      <c r="S6" s="3"/>
      <c r="T6" s="3"/>
      <c r="U6" s="3"/>
      <c r="V6" s="3"/>
    </row>
    <row r="7" customFormat="false" ht="24.75" hidden="false" customHeight="true" outlineLevel="0" collapsed="false">
      <c r="A7" s="8"/>
      <c r="B7" s="10" t="s">
        <v>3</v>
      </c>
      <c r="C7" s="10"/>
      <c r="D7" s="10"/>
      <c r="E7" s="10"/>
      <c r="F7" s="9"/>
      <c r="G7" s="3"/>
      <c r="H7" s="3"/>
      <c r="I7" s="3"/>
      <c r="J7" s="3"/>
      <c r="K7" s="3"/>
      <c r="L7" s="3"/>
      <c r="M7" s="3"/>
      <c r="N7" s="3"/>
      <c r="O7" s="3"/>
      <c r="P7" s="3"/>
      <c r="Q7" s="3"/>
      <c r="R7" s="3"/>
      <c r="S7" s="3"/>
      <c r="T7" s="3"/>
      <c r="U7" s="3"/>
      <c r="V7" s="3"/>
    </row>
    <row r="8" customFormat="false" ht="17.35" hidden="false" customHeight="false" outlineLevel="0" collapsed="false">
      <c r="A8" s="8"/>
      <c r="B8" s="11" t="s">
        <v>4</v>
      </c>
      <c r="C8" s="11"/>
      <c r="D8" s="11"/>
      <c r="E8" s="11"/>
      <c r="F8" s="9"/>
      <c r="G8" s="3"/>
      <c r="H8" s="3"/>
      <c r="I8" s="3"/>
      <c r="J8" s="3"/>
      <c r="K8" s="3"/>
      <c r="L8" s="3"/>
      <c r="M8" s="3"/>
      <c r="N8" s="3"/>
      <c r="O8" s="3"/>
      <c r="P8" s="3"/>
      <c r="Q8" s="3"/>
      <c r="R8" s="3"/>
      <c r="S8" s="3"/>
      <c r="T8" s="3"/>
      <c r="U8" s="3"/>
      <c r="V8" s="3"/>
    </row>
    <row r="9" customFormat="false" ht="17.15" hidden="false" customHeight="false" outlineLevel="0" collapsed="false">
      <c r="A9" s="8"/>
      <c r="B9" s="12" t="s">
        <v>5</v>
      </c>
      <c r="C9" s="12"/>
      <c r="D9" s="12"/>
      <c r="E9" s="12"/>
      <c r="F9" s="9"/>
      <c r="G9" s="3"/>
      <c r="H9" s="3"/>
      <c r="I9" s="3"/>
      <c r="J9" s="3"/>
      <c r="K9" s="3"/>
      <c r="L9" s="3"/>
      <c r="M9" s="3"/>
      <c r="N9" s="3"/>
      <c r="O9" s="3"/>
      <c r="P9" s="3"/>
      <c r="Q9" s="3"/>
      <c r="R9" s="3"/>
      <c r="S9" s="3"/>
      <c r="T9" s="3"/>
      <c r="U9" s="3"/>
      <c r="V9" s="3"/>
    </row>
    <row r="10" customFormat="false" ht="56.25" hidden="false" customHeight="true" outlineLevel="0" collapsed="false">
      <c r="A10" s="8"/>
      <c r="B10" s="13" t="s">
        <v>6</v>
      </c>
      <c r="C10" s="13"/>
      <c r="D10" s="13"/>
      <c r="E10" s="13"/>
      <c r="F10" s="3"/>
      <c r="G10" s="3"/>
      <c r="H10" s="3"/>
      <c r="I10" s="3"/>
      <c r="J10" s="3"/>
      <c r="K10" s="3"/>
      <c r="L10" s="3"/>
      <c r="M10" s="3"/>
      <c r="N10" s="3"/>
      <c r="O10" s="3"/>
      <c r="P10" s="3"/>
      <c r="Q10" s="3"/>
      <c r="R10" s="3"/>
      <c r="S10" s="3"/>
      <c r="T10" s="3"/>
      <c r="U10" s="3"/>
      <c r="V10" s="3"/>
    </row>
    <row r="11" customFormat="false" ht="15" hidden="false" customHeight="false" outlineLevel="0" collapsed="false">
      <c r="A11" s="8"/>
      <c r="B11" s="14" t="s">
        <v>7</v>
      </c>
      <c r="C11" s="14"/>
      <c r="D11" s="14"/>
      <c r="E11" s="14"/>
      <c r="F11" s="3"/>
      <c r="G11" s="3"/>
      <c r="H11" s="3"/>
      <c r="I11" s="3"/>
      <c r="J11" s="3"/>
      <c r="K11" s="3"/>
      <c r="L11" s="3"/>
      <c r="M11" s="3"/>
      <c r="N11" s="3"/>
      <c r="O11" s="3"/>
      <c r="P11" s="3"/>
      <c r="Q11" s="3"/>
      <c r="R11" s="3"/>
      <c r="S11" s="3"/>
      <c r="T11" s="3"/>
      <c r="U11" s="3"/>
      <c r="V11" s="3"/>
    </row>
    <row r="12" customFormat="false" ht="15" hidden="false" customHeight="false" outlineLevel="0" collapsed="false">
      <c r="A12" s="8"/>
      <c r="B12" s="14"/>
      <c r="C12" s="14"/>
      <c r="D12" s="14"/>
      <c r="E12" s="14"/>
      <c r="F12" s="3"/>
      <c r="G12" s="3"/>
      <c r="H12" s="3"/>
      <c r="I12" s="3"/>
      <c r="J12" s="3"/>
      <c r="K12" s="3"/>
      <c r="L12" s="3"/>
      <c r="M12" s="3"/>
      <c r="N12" s="3"/>
      <c r="O12" s="3"/>
      <c r="P12" s="3"/>
      <c r="Q12" s="3"/>
      <c r="R12" s="3"/>
      <c r="S12" s="3"/>
      <c r="T12" s="3"/>
      <c r="U12" s="3"/>
      <c r="V12" s="3"/>
    </row>
    <row r="13" customFormat="false" ht="20.25" hidden="false" customHeight="true" outlineLevel="0" collapsed="false">
      <c r="A13" s="8"/>
      <c r="B13" s="15" t="s">
        <v>8</v>
      </c>
      <c r="C13" s="16" t="n">
        <v>20</v>
      </c>
      <c r="D13" s="17" t="s">
        <v>9</v>
      </c>
      <c r="E13" s="92"/>
      <c r="F13" s="3"/>
      <c r="G13" s="3"/>
      <c r="H13" s="3"/>
      <c r="I13" s="3"/>
      <c r="J13" s="3"/>
      <c r="K13" s="3"/>
      <c r="L13" s="3"/>
      <c r="M13" s="3"/>
      <c r="N13" s="3"/>
      <c r="O13" s="3"/>
      <c r="P13" s="3"/>
      <c r="Q13" s="3"/>
      <c r="R13" s="3"/>
      <c r="S13" s="3"/>
      <c r="T13" s="3"/>
      <c r="U13" s="3"/>
      <c r="V13" s="3"/>
      <c r="W13" s="19"/>
    </row>
    <row r="14" customFormat="false" ht="20.25" hidden="false" customHeight="true" outlineLevel="0" collapsed="false">
      <c r="A14" s="8"/>
      <c r="B14" s="15" t="s">
        <v>12</v>
      </c>
      <c r="C14" s="23" t="n">
        <v>1.8</v>
      </c>
      <c r="D14" s="17" t="s">
        <v>13</v>
      </c>
      <c r="E14" s="93" t="s">
        <v>108</v>
      </c>
      <c r="F14" s="3"/>
      <c r="G14" s="3"/>
      <c r="H14" s="3"/>
      <c r="I14" s="3"/>
      <c r="J14" s="3"/>
      <c r="K14" s="3"/>
      <c r="L14" s="3"/>
      <c r="M14" s="3"/>
      <c r="N14" s="3"/>
      <c r="O14" s="3"/>
      <c r="P14" s="3"/>
      <c r="Q14" s="3"/>
      <c r="R14" s="3"/>
      <c r="S14" s="3"/>
      <c r="T14" s="3"/>
      <c r="U14" s="3"/>
      <c r="V14" s="3"/>
    </row>
    <row r="15" customFormat="false" ht="20.25" hidden="false" customHeight="true" outlineLevel="0" collapsed="false">
      <c r="A15" s="8"/>
      <c r="B15" s="25" t="s">
        <v>15</v>
      </c>
      <c r="C15" s="26" t="n">
        <v>15</v>
      </c>
      <c r="D15" s="27" t="s">
        <v>16</v>
      </c>
      <c r="E15" s="93" t="s">
        <v>109</v>
      </c>
      <c r="F15" s="3"/>
      <c r="G15" s="3"/>
      <c r="H15" s="3"/>
      <c r="I15" s="3"/>
      <c r="J15" s="3"/>
      <c r="K15" s="3"/>
      <c r="L15" s="3"/>
      <c r="M15" s="3"/>
      <c r="N15" s="3"/>
      <c r="O15" s="3"/>
      <c r="P15" s="3"/>
      <c r="Q15" s="3"/>
      <c r="R15" s="3"/>
      <c r="S15" s="3"/>
      <c r="T15" s="3"/>
      <c r="U15" s="3"/>
      <c r="V15" s="3"/>
    </row>
    <row r="16" customFormat="false" ht="20.25" hidden="false" customHeight="true" outlineLevel="0" collapsed="false">
      <c r="A16" s="8"/>
      <c r="B16" s="25" t="s">
        <v>110</v>
      </c>
      <c r="C16" s="29" t="n">
        <v>5</v>
      </c>
      <c r="D16" s="27" t="s">
        <v>18</v>
      </c>
      <c r="E16" s="93" t="s">
        <v>111</v>
      </c>
      <c r="F16" s="3"/>
      <c r="G16" s="3"/>
      <c r="H16" s="3"/>
      <c r="I16" s="3"/>
      <c r="J16" s="3"/>
      <c r="K16" s="3"/>
      <c r="L16" s="3"/>
      <c r="M16" s="3"/>
      <c r="N16" s="3"/>
      <c r="O16" s="3"/>
      <c r="P16" s="3"/>
      <c r="Q16" s="3"/>
      <c r="R16" s="3"/>
      <c r="S16" s="3"/>
      <c r="T16" s="3"/>
      <c r="U16" s="3"/>
      <c r="V16" s="3"/>
    </row>
    <row r="17" customFormat="false" ht="20.25" hidden="false" customHeight="true" outlineLevel="0" collapsed="false">
      <c r="A17" s="8"/>
      <c r="B17" s="31" t="s">
        <v>112</v>
      </c>
      <c r="C17" s="29" t="n">
        <v>5</v>
      </c>
      <c r="D17" s="27" t="s">
        <v>18</v>
      </c>
      <c r="E17" s="93"/>
      <c r="F17" s="3"/>
      <c r="G17" s="3"/>
      <c r="H17" s="3"/>
      <c r="I17" s="3"/>
      <c r="J17" s="3"/>
      <c r="K17" s="3"/>
      <c r="L17" s="3"/>
      <c r="M17" s="3"/>
      <c r="N17" s="3"/>
      <c r="O17" s="3"/>
      <c r="P17" s="3"/>
      <c r="Q17" s="3"/>
      <c r="R17" s="3"/>
      <c r="S17" s="3"/>
      <c r="T17" s="3"/>
      <c r="U17" s="3"/>
      <c r="V17" s="3"/>
    </row>
    <row r="18" customFormat="false" ht="20.25" hidden="false" customHeight="true" outlineLevel="0" collapsed="false">
      <c r="A18" s="8"/>
      <c r="B18" s="31" t="s">
        <v>113</v>
      </c>
      <c r="C18" s="33" t="n">
        <f aca="false">IQ_DRIVER_VDDS+IQ</f>
        <v>10</v>
      </c>
      <c r="D18" s="27" t="s">
        <v>18</v>
      </c>
      <c r="E18" s="94"/>
      <c r="F18" s="3"/>
      <c r="G18" s="3"/>
      <c r="H18" s="3"/>
      <c r="I18" s="3"/>
      <c r="J18" s="3"/>
      <c r="K18" s="3"/>
      <c r="L18" s="3"/>
      <c r="M18" s="3"/>
      <c r="N18" s="3"/>
      <c r="O18" s="3"/>
      <c r="P18" s="3"/>
      <c r="Q18" s="3"/>
      <c r="R18" s="3"/>
      <c r="S18" s="3"/>
      <c r="T18" s="3"/>
      <c r="U18" s="3"/>
      <c r="V18" s="3"/>
    </row>
    <row r="19" customFormat="false" ht="20.25" hidden="false" customHeight="true" outlineLevel="0" collapsed="false">
      <c r="A19" s="8"/>
      <c r="B19" s="25" t="s">
        <v>114</v>
      </c>
      <c r="C19" s="29" t="n">
        <v>5</v>
      </c>
      <c r="D19" s="27" t="s">
        <v>18</v>
      </c>
      <c r="E19" s="94" t="s">
        <v>115</v>
      </c>
      <c r="F19" s="3"/>
      <c r="G19" s="3"/>
      <c r="H19" s="3"/>
      <c r="I19" s="3"/>
      <c r="J19" s="3"/>
      <c r="K19" s="3"/>
      <c r="L19" s="3"/>
      <c r="M19" s="3"/>
      <c r="N19" s="3"/>
      <c r="O19" s="3"/>
      <c r="P19" s="3"/>
      <c r="Q19" s="3"/>
      <c r="R19" s="3"/>
      <c r="S19" s="3"/>
      <c r="T19" s="3"/>
      <c r="U19" s="3"/>
      <c r="V19" s="3"/>
    </row>
    <row r="20" customFormat="false" ht="39.75" hidden="false" customHeight="true" outlineLevel="0" collapsed="false">
      <c r="A20" s="8"/>
      <c r="B20" s="15" t="s">
        <v>45</v>
      </c>
      <c r="C20" s="49" t="n">
        <v>1.5</v>
      </c>
      <c r="D20" s="17" t="s">
        <v>42</v>
      </c>
      <c r="E20" s="92" t="s">
        <v>116</v>
      </c>
      <c r="F20" s="3"/>
      <c r="G20" s="3"/>
      <c r="H20" s="3"/>
      <c r="I20" s="3"/>
      <c r="J20" s="3"/>
      <c r="K20" s="3"/>
      <c r="L20" s="3"/>
      <c r="M20" s="3"/>
      <c r="N20" s="3"/>
      <c r="O20" s="3"/>
      <c r="P20" s="3"/>
      <c r="Q20" s="3"/>
      <c r="R20" s="3"/>
      <c r="S20" s="3"/>
      <c r="T20" s="3"/>
      <c r="U20" s="3"/>
      <c r="V20" s="3"/>
    </row>
    <row r="21" customFormat="false" ht="37.5" hidden="false" customHeight="true" outlineLevel="0" collapsed="false">
      <c r="A21" s="8"/>
      <c r="B21" s="25" t="s">
        <v>117</v>
      </c>
      <c r="C21" s="47" t="n">
        <f aca="false">(Qgtot*0.000001*VDD_VEE*fsw*1000)+(VDD_VEE*I_TOTAL_VDDS*0.001)+(VDD_VEE*I_STEP*0.001)</f>
        <v>0.84</v>
      </c>
      <c r="D21" s="27" t="s">
        <v>42</v>
      </c>
      <c r="E21" s="92" t="s">
        <v>48</v>
      </c>
      <c r="F21" s="3"/>
      <c r="G21" s="3"/>
      <c r="H21" s="3"/>
      <c r="I21" s="3"/>
      <c r="J21" s="3"/>
      <c r="K21" s="3"/>
      <c r="L21" s="3"/>
      <c r="M21" s="3"/>
      <c r="N21" s="3"/>
      <c r="O21" s="3"/>
      <c r="P21" s="3"/>
      <c r="Q21" s="3"/>
      <c r="R21" s="3"/>
      <c r="S21" s="3"/>
      <c r="T21" s="3"/>
      <c r="U21" s="3"/>
      <c r="V21" s="3"/>
    </row>
    <row r="22" customFormat="false" ht="19.5" hidden="false" customHeight="true" outlineLevel="0" collapsed="false">
      <c r="A22" s="8"/>
      <c r="B22" s="25" t="s">
        <v>25</v>
      </c>
      <c r="C22" s="29" t="n">
        <v>10</v>
      </c>
      <c r="D22" s="27" t="s">
        <v>26</v>
      </c>
      <c r="E22" s="94"/>
      <c r="F22" s="3"/>
      <c r="G22" s="3"/>
      <c r="H22" s="3"/>
      <c r="I22" s="3"/>
      <c r="J22" s="3"/>
      <c r="K22" s="3"/>
      <c r="L22" s="3"/>
      <c r="M22" s="3"/>
      <c r="N22" s="3"/>
      <c r="O22" s="3"/>
      <c r="P22" s="3"/>
      <c r="Q22" s="3"/>
      <c r="R22" s="3"/>
      <c r="S22" s="3"/>
      <c r="T22" s="3"/>
      <c r="U22" s="3"/>
      <c r="V22" s="3"/>
    </row>
    <row r="23" customFormat="false" ht="19.5" hidden="false" customHeight="true" outlineLevel="0" collapsed="false">
      <c r="A23" s="8"/>
      <c r="B23" s="65" t="s">
        <v>118</v>
      </c>
      <c r="C23" s="95" t="n">
        <v>1.5</v>
      </c>
      <c r="D23" s="53" t="s">
        <v>28</v>
      </c>
      <c r="E23" s="96" t="s">
        <v>119</v>
      </c>
      <c r="F23" s="3"/>
      <c r="G23" s="3"/>
      <c r="H23" s="3"/>
      <c r="I23" s="3"/>
      <c r="J23" s="3"/>
      <c r="K23" s="3"/>
      <c r="L23" s="3"/>
      <c r="M23" s="3"/>
      <c r="N23" s="3"/>
      <c r="O23" s="3"/>
      <c r="P23" s="3"/>
      <c r="Q23" s="3"/>
      <c r="R23" s="3"/>
      <c r="S23" s="3"/>
      <c r="T23" s="3"/>
      <c r="U23" s="3"/>
      <c r="V23" s="3"/>
    </row>
    <row r="24" customFormat="false" ht="15" hidden="false" customHeight="false" outlineLevel="0" collapsed="false">
      <c r="A24" s="8"/>
      <c r="B24" s="55"/>
      <c r="C24" s="55"/>
      <c r="D24" s="55"/>
      <c r="E24" s="56"/>
      <c r="F24" s="3"/>
      <c r="G24" s="3"/>
      <c r="H24" s="3"/>
      <c r="I24" s="3"/>
      <c r="J24" s="3"/>
      <c r="K24" s="3"/>
      <c r="L24" s="3"/>
      <c r="M24" s="3"/>
      <c r="N24" s="3"/>
      <c r="O24" s="3"/>
      <c r="P24" s="3"/>
      <c r="Q24" s="3"/>
      <c r="R24" s="3"/>
      <c r="S24" s="3"/>
      <c r="T24" s="3"/>
      <c r="U24" s="3"/>
      <c r="V24" s="3"/>
    </row>
    <row r="25" customFormat="false" ht="15" hidden="false" customHeight="false" outlineLevel="0" collapsed="false">
      <c r="A25" s="8"/>
      <c r="B25" s="57" t="s">
        <v>54</v>
      </c>
      <c r="C25" s="57"/>
      <c r="D25" s="57"/>
      <c r="E25" s="57"/>
      <c r="F25" s="3"/>
      <c r="G25" s="3"/>
      <c r="H25" s="3"/>
      <c r="I25" s="3"/>
      <c r="J25" s="3"/>
      <c r="K25" s="3"/>
      <c r="L25" s="3"/>
      <c r="M25" s="3"/>
      <c r="N25" s="3"/>
      <c r="O25" s="3"/>
      <c r="P25" s="3"/>
      <c r="Q25" s="3"/>
      <c r="R25" s="3"/>
      <c r="S25" s="3"/>
      <c r="T25" s="3"/>
      <c r="U25" s="3"/>
      <c r="V25" s="3"/>
    </row>
    <row r="26" customFormat="false" ht="15" hidden="false" customHeight="false" outlineLevel="0" collapsed="false">
      <c r="A26" s="8"/>
      <c r="B26" s="57"/>
      <c r="C26" s="57"/>
      <c r="D26" s="57"/>
      <c r="E26" s="57"/>
      <c r="F26" s="3"/>
      <c r="G26" s="3"/>
      <c r="H26" s="3"/>
      <c r="I26" s="3"/>
      <c r="J26" s="3"/>
      <c r="K26" s="3"/>
      <c r="L26" s="3"/>
      <c r="M26" s="3"/>
      <c r="N26" s="3"/>
      <c r="O26" s="3"/>
      <c r="P26" s="3"/>
      <c r="Q26" s="3"/>
      <c r="R26" s="3"/>
      <c r="S26" s="3"/>
      <c r="T26" s="3"/>
      <c r="U26" s="3"/>
      <c r="V26" s="3"/>
    </row>
    <row r="27" customFormat="false" ht="20.25" hidden="false" customHeight="true" outlineLevel="0" collapsed="false">
      <c r="A27" s="8"/>
      <c r="B27" s="97" t="s">
        <v>56</v>
      </c>
      <c r="C27" s="98" t="n">
        <f aca="false">R_2*(VDD_VEE-2.5)/2.5</f>
        <v>70</v>
      </c>
      <c r="D27" s="99" t="s">
        <v>26</v>
      </c>
      <c r="E27" s="100"/>
      <c r="F27" s="3"/>
      <c r="G27" s="3"/>
      <c r="H27" s="3"/>
      <c r="I27" s="3"/>
      <c r="J27" s="3"/>
      <c r="K27" s="3"/>
      <c r="L27" s="3"/>
      <c r="M27" s="3"/>
      <c r="N27" s="3"/>
      <c r="O27" s="3"/>
      <c r="P27" s="3"/>
      <c r="Q27" s="3"/>
      <c r="R27" s="3"/>
      <c r="S27" s="3"/>
      <c r="T27" s="3"/>
      <c r="U27" s="3"/>
      <c r="V27" s="3"/>
    </row>
    <row r="28" customFormat="false" ht="19.5" hidden="false" customHeight="true" outlineLevel="0" collapsed="false">
      <c r="A28" s="8"/>
      <c r="B28" s="25" t="s">
        <v>120</v>
      </c>
      <c r="C28" s="61" t="n">
        <f aca="false">(Qgtot/(VDD_VEE*PERCENT_VPP_MAX/100))+(I_STEP*0.001/(VDD_VEE*PERCENT_VPP_MAX/100))</f>
        <v>6.01666666666667</v>
      </c>
      <c r="D28" s="27" t="s">
        <v>63</v>
      </c>
      <c r="E28" s="94" t="s">
        <v>121</v>
      </c>
      <c r="F28" s="3"/>
      <c r="G28" s="3"/>
      <c r="H28" s="3"/>
      <c r="I28" s="3"/>
      <c r="J28" s="3"/>
      <c r="K28" s="3"/>
      <c r="L28" s="3"/>
      <c r="M28" s="3"/>
      <c r="N28" s="3"/>
      <c r="O28" s="3"/>
      <c r="P28" s="3"/>
      <c r="Q28" s="3"/>
      <c r="R28" s="3"/>
      <c r="S28" s="3"/>
      <c r="T28" s="3"/>
      <c r="U28" s="3"/>
      <c r="V28" s="3"/>
    </row>
    <row r="29" customFormat="false" ht="27.6" hidden="false" customHeight="false" outlineLevel="0" collapsed="false">
      <c r="A29" s="8"/>
      <c r="B29" s="65" t="s">
        <v>122</v>
      </c>
      <c r="C29" s="101" t="n">
        <v>10</v>
      </c>
      <c r="D29" s="53" t="s">
        <v>63</v>
      </c>
      <c r="E29" s="102" t="s">
        <v>123</v>
      </c>
      <c r="F29" s="3"/>
      <c r="G29" s="3"/>
      <c r="H29" s="3"/>
      <c r="I29" s="3"/>
      <c r="J29" s="3"/>
      <c r="K29" s="3"/>
      <c r="L29" s="3"/>
      <c r="M29" s="3"/>
      <c r="N29" s="3"/>
      <c r="O29" s="3"/>
      <c r="P29" s="3"/>
      <c r="Q29" s="3"/>
      <c r="R29" s="3"/>
      <c r="S29" s="3"/>
      <c r="T29" s="3"/>
      <c r="U29" s="3"/>
      <c r="V29" s="3"/>
    </row>
    <row r="30" customFormat="false" ht="1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row>
    <row r="31" customFormat="false" ht="1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row>
    <row r="32" customFormat="false" ht="15" hidden="false" customHeight="false" outlineLevel="0" collapsed="false">
      <c r="A32" s="8"/>
      <c r="B32" s="57" t="s">
        <v>94</v>
      </c>
      <c r="C32" s="57"/>
      <c r="D32" s="57"/>
      <c r="E32" s="57"/>
      <c r="F32" s="3"/>
      <c r="G32" s="3"/>
      <c r="H32" s="3"/>
      <c r="I32" s="3"/>
      <c r="J32" s="3"/>
      <c r="K32" s="3"/>
      <c r="L32" s="3"/>
      <c r="M32" s="3"/>
      <c r="N32" s="3"/>
      <c r="O32" s="3"/>
      <c r="P32" s="3"/>
      <c r="Q32" s="3"/>
      <c r="R32" s="3"/>
      <c r="S32" s="3"/>
      <c r="T32" s="3"/>
      <c r="U32" s="3"/>
      <c r="V32" s="3"/>
    </row>
    <row r="33" customFormat="false" ht="15" hidden="false" customHeight="false" outlineLevel="0" collapsed="false">
      <c r="A33" s="8"/>
      <c r="B33" s="57"/>
      <c r="C33" s="57"/>
      <c r="D33" s="57"/>
      <c r="E33" s="57"/>
      <c r="F33" s="3"/>
      <c r="G33" s="3"/>
      <c r="H33" s="3"/>
      <c r="I33" s="3"/>
      <c r="J33" s="3"/>
      <c r="K33" s="3"/>
      <c r="L33" s="3"/>
      <c r="M33" s="3"/>
      <c r="N33" s="3"/>
      <c r="O33" s="3"/>
      <c r="P33" s="3"/>
      <c r="Q33" s="3"/>
      <c r="R33" s="3"/>
      <c r="S33" s="3"/>
      <c r="T33" s="3"/>
      <c r="U33" s="3"/>
      <c r="V33" s="3"/>
    </row>
    <row r="34" customFormat="false" ht="20.25" hidden="false" customHeight="true" outlineLevel="0" collapsed="false">
      <c r="A34" s="8"/>
      <c r="B34" s="15" t="s">
        <v>95</v>
      </c>
      <c r="C34" s="59" t="n">
        <v>330</v>
      </c>
      <c r="D34" s="17" t="s">
        <v>96</v>
      </c>
      <c r="E34" s="103" t="s">
        <v>97</v>
      </c>
      <c r="F34" s="3"/>
      <c r="G34" s="3"/>
      <c r="H34" s="3"/>
      <c r="I34" s="3"/>
      <c r="J34" s="3"/>
      <c r="K34" s="3"/>
      <c r="L34" s="3"/>
      <c r="M34" s="3"/>
      <c r="N34" s="3"/>
      <c r="O34" s="3"/>
      <c r="P34" s="3"/>
      <c r="Q34" s="3"/>
      <c r="R34" s="3"/>
      <c r="S34" s="3"/>
      <c r="T34" s="3"/>
      <c r="U34" s="3"/>
      <c r="V34" s="3"/>
    </row>
    <row r="35" customFormat="false" ht="20.25" hidden="false" customHeight="true" outlineLevel="0" collapsed="false">
      <c r="A35" s="8"/>
      <c r="B35" s="15" t="s">
        <v>99</v>
      </c>
      <c r="C35" s="59" t="s">
        <v>100</v>
      </c>
      <c r="D35" s="17" t="s">
        <v>63</v>
      </c>
      <c r="E35" s="103"/>
      <c r="F35" s="3"/>
      <c r="G35" s="3"/>
      <c r="H35" s="3"/>
      <c r="I35" s="3"/>
      <c r="J35" s="3"/>
      <c r="K35" s="3"/>
      <c r="L35" s="3"/>
      <c r="M35" s="3"/>
      <c r="N35" s="3"/>
      <c r="O35" s="3"/>
      <c r="P35" s="3"/>
      <c r="Q35" s="3"/>
      <c r="R35" s="3"/>
      <c r="S35" s="3"/>
      <c r="T35" s="3"/>
      <c r="U35" s="3"/>
      <c r="V35" s="3"/>
    </row>
    <row r="36" customFormat="false" ht="20.25" hidden="false" customHeight="true" outlineLevel="0" collapsed="false">
      <c r="A36" s="8"/>
      <c r="B36" s="15" t="s">
        <v>101</v>
      </c>
      <c r="C36" s="59" t="s">
        <v>102</v>
      </c>
      <c r="D36" s="17" t="s">
        <v>63</v>
      </c>
      <c r="E36" s="103"/>
      <c r="F36" s="3"/>
      <c r="G36" s="3"/>
      <c r="H36" s="3"/>
      <c r="I36" s="3"/>
      <c r="J36" s="3"/>
      <c r="K36" s="3"/>
      <c r="L36" s="3"/>
      <c r="M36" s="3"/>
      <c r="N36" s="3"/>
      <c r="O36" s="3"/>
      <c r="P36" s="3"/>
      <c r="Q36" s="3"/>
      <c r="R36" s="3"/>
      <c r="S36" s="3"/>
      <c r="T36" s="3"/>
      <c r="U36" s="3"/>
      <c r="V36" s="3"/>
    </row>
    <row r="37" customFormat="false" ht="19.5" hidden="false" customHeight="true" outlineLevel="0" collapsed="false">
      <c r="A37" s="8"/>
      <c r="B37" s="51" t="s">
        <v>124</v>
      </c>
      <c r="C37" s="90" t="n">
        <v>1000</v>
      </c>
      <c r="D37" s="91" t="s">
        <v>73</v>
      </c>
      <c r="E37" s="104" t="s">
        <v>125</v>
      </c>
      <c r="F37" s="3"/>
      <c r="G37" s="3"/>
      <c r="H37" s="3"/>
      <c r="I37" s="3"/>
      <c r="J37" s="3"/>
      <c r="K37" s="3"/>
      <c r="L37" s="3"/>
      <c r="M37" s="3"/>
      <c r="N37" s="3"/>
      <c r="O37" s="3"/>
      <c r="P37" s="3"/>
      <c r="Q37" s="3"/>
      <c r="R37" s="3"/>
      <c r="S37" s="3"/>
      <c r="T37" s="3"/>
      <c r="U37" s="3"/>
      <c r="V37" s="3"/>
    </row>
    <row r="38" customFormat="false" ht="1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row>
    <row r="39" customFormat="false" ht="15" hidden="false" customHeight="false" outlineLevel="0" collapsed="false">
      <c r="A39" s="3"/>
      <c r="B39" s="3" t="s">
        <v>103</v>
      </c>
      <c r="C39" s="3"/>
      <c r="D39" s="3"/>
      <c r="E39" s="3"/>
      <c r="F39" s="3"/>
      <c r="G39" s="3"/>
      <c r="H39" s="3"/>
      <c r="I39" s="3"/>
      <c r="J39" s="3"/>
      <c r="K39" s="3"/>
      <c r="L39" s="3"/>
      <c r="M39" s="3"/>
      <c r="N39" s="3"/>
      <c r="O39" s="3"/>
      <c r="P39" s="3"/>
      <c r="Q39" s="3"/>
      <c r="R39" s="3"/>
      <c r="S39" s="3"/>
      <c r="T39" s="3"/>
      <c r="U39" s="3"/>
      <c r="V39" s="3"/>
    </row>
    <row r="40" customFormat="false" ht="15" hidden="false" customHeight="false" outlineLevel="0" collapsed="false">
      <c r="A40" s="3"/>
      <c r="B40" s="3" t="s">
        <v>104</v>
      </c>
      <c r="C40" s="3"/>
      <c r="D40" s="3"/>
      <c r="E40" s="3"/>
      <c r="F40" s="3"/>
      <c r="G40" s="3"/>
      <c r="H40" s="3"/>
      <c r="I40" s="3"/>
      <c r="J40" s="3"/>
      <c r="K40" s="3"/>
      <c r="L40" s="3"/>
      <c r="M40" s="3"/>
      <c r="N40" s="3"/>
      <c r="O40" s="3"/>
      <c r="P40" s="3"/>
      <c r="Q40" s="3"/>
      <c r="R40" s="3"/>
      <c r="S40" s="3"/>
      <c r="T40" s="3"/>
      <c r="U40" s="3"/>
      <c r="V40" s="3"/>
    </row>
    <row r="41" customFormat="false" ht="1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row>
    <row r="42" customFormat="false" ht="1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row>
    <row r="43" customFormat="false" ht="1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row>
    <row r="44" customFormat="false" ht="1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row>
    <row r="45" customFormat="false" ht="1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row>
    <row r="46" customFormat="false" ht="1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row>
    <row r="47" customFormat="false" ht="18.75" hidden="false" customHeight="false" outlineLevel="0" collapsed="false">
      <c r="B47" s="105"/>
    </row>
    <row r="48" customFormat="false" ht="15" hidden="false" customHeight="false" outlineLevel="0" collapsed="false">
      <c r="B48" s="106"/>
    </row>
    <row r="52" customFormat="false" ht="15" hidden="false" customHeight="false" outlineLevel="0" collapsed="false">
      <c r="B52" s="107"/>
    </row>
    <row r="54" customFormat="false" ht="15" hidden="false" customHeight="false" outlineLevel="0" collapsed="false">
      <c r="B54" s="106"/>
    </row>
    <row r="55" customFormat="false" ht="15" hidden="false" customHeight="false" outlineLevel="0" collapsed="false">
      <c r="B55" s="106"/>
    </row>
    <row r="56" customFormat="false" ht="15" hidden="false" customHeight="false" outlineLevel="0" collapsed="false">
      <c r="B56" s="108"/>
    </row>
  </sheetData>
  <sheetProtection algorithmName="SHA-512" hashValue="H55lUVP2nw1t+GYS/7+4iv/nk5Ffg4Y6dLm/SWje4dosSi1Wbh7EqE0BYRtGpQ1wtw4bgf9ChjcFi5K7qtrzuw==" saltValue="guV6jTQAvlaOlhzARRMuBw==" spinCount="100000" sheet="true" selectLockedCells="true"/>
  <mergeCells count="11">
    <mergeCell ref="B1:E1"/>
    <mergeCell ref="B2:E2"/>
    <mergeCell ref="B3:E6"/>
    <mergeCell ref="B7:E7"/>
    <mergeCell ref="B8:E8"/>
    <mergeCell ref="B9:E9"/>
    <mergeCell ref="B10:E10"/>
    <mergeCell ref="B11:E12"/>
    <mergeCell ref="B25:E26"/>
    <mergeCell ref="B32:E33"/>
    <mergeCell ref="E34:E36"/>
  </mergeCells>
  <conditionalFormatting sqref="B13:B19 D13:E19">
    <cfRule type="expression" priority="2" aboveAverage="0" equalAverage="0" bottom="0" percent="0" rank="0" text="" dxfId="11">
      <formula>$C$21&gt;$C$20</formula>
    </cfRule>
  </conditionalFormatting>
  <conditionalFormatting sqref="B29 D29:E29">
    <cfRule type="expression" priority="3" aboveAverage="0" equalAverage="0" bottom="0" percent="0" rank="0" text="" dxfId="12">
      <formula>$C$29&lt;$C$28</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O19" activeCellId="0" sqref="O19"/>
    </sheetView>
  </sheetViews>
  <sheetFormatPr defaultColWidth="11.53515625" defaultRowHeight="15" customHeight="false" zeroHeight="false" outlineLevelRow="0" outlineLevelCol="0"/>
  <cols>
    <col collapsed="false" customWidth="true" hidden="false" outlineLevel="0" max="1" min="1" style="109" width="33.94"/>
    <col collapsed="false" customWidth="false" hidden="false" outlineLevel="0" max="16384" min="2" style="109" width="11.53"/>
  </cols>
  <sheetData>
    <row r="1" customFormat="false" ht="15" hidden="false" customHeight="false" outlineLevel="0" collapsed="false">
      <c r="A1" s="110" t="s">
        <v>126</v>
      </c>
      <c r="B1" s="110" t="s">
        <v>127</v>
      </c>
      <c r="C1" s="110" t="s">
        <v>128</v>
      </c>
      <c r="D1" s="110"/>
      <c r="E1" s="110"/>
    </row>
    <row r="2" customFormat="false" ht="15" hidden="false" customHeight="false" outlineLevel="0" collapsed="false">
      <c r="A2" s="110" t="s">
        <v>129</v>
      </c>
      <c r="B2" s="110" t="s">
        <v>130</v>
      </c>
      <c r="C2" s="110" t="s">
        <v>128</v>
      </c>
      <c r="D2" s="110"/>
      <c r="E2" s="110"/>
    </row>
    <row r="3" customFormat="false" ht="15" hidden="false" customHeight="false" outlineLevel="0" collapsed="false">
      <c r="A3" s="110" t="s">
        <v>131</v>
      </c>
      <c r="B3" s="110" t="s">
        <v>130</v>
      </c>
      <c r="C3" s="110"/>
      <c r="D3" s="110"/>
      <c r="E3" s="110"/>
    </row>
    <row r="4" customFormat="false" ht="15" hidden="false" customHeight="false" outlineLevel="0" collapsed="false">
      <c r="A4" s="110" t="s">
        <v>132</v>
      </c>
      <c r="B4" s="110" t="s">
        <v>133</v>
      </c>
      <c r="C4" s="110"/>
      <c r="D4" s="110"/>
      <c r="E4" s="110"/>
    </row>
    <row r="5" customFormat="false" ht="15" hidden="false" customHeight="false" outlineLevel="0" collapsed="false">
      <c r="A5" s="110" t="s">
        <v>134</v>
      </c>
      <c r="B5" s="110" t="s">
        <v>135</v>
      </c>
      <c r="C5" s="110"/>
      <c r="D5" s="110"/>
      <c r="E5" s="110"/>
    </row>
    <row r="6" customFormat="false" ht="15" hidden="false" customHeight="false" outlineLevel="0" collapsed="false">
      <c r="A6" s="110" t="s">
        <v>136</v>
      </c>
      <c r="B6" s="110" t="s">
        <v>137</v>
      </c>
      <c r="C6" s="110"/>
      <c r="D6" s="110"/>
      <c r="E6" s="110"/>
    </row>
    <row r="7" customFormat="false" ht="15" hidden="false" customHeight="false" outlineLevel="0" collapsed="false">
      <c r="A7" s="110" t="s">
        <v>138</v>
      </c>
      <c r="B7" s="110" t="s">
        <v>139</v>
      </c>
      <c r="C7" s="110"/>
      <c r="D7" s="110"/>
      <c r="E7" s="110"/>
    </row>
    <row r="8" customFormat="false" ht="15" hidden="false" customHeight="false" outlineLevel="0" collapsed="false">
      <c r="A8" s="110" t="s">
        <v>140</v>
      </c>
      <c r="B8" s="110" t="s">
        <v>141</v>
      </c>
      <c r="C8" s="110"/>
      <c r="D8" s="110"/>
      <c r="E8" s="110"/>
    </row>
    <row r="9" customFormat="false" ht="15" hidden="false" customHeight="false" outlineLevel="0" collapsed="false">
      <c r="A9" s="110" t="s">
        <v>142</v>
      </c>
      <c r="B9" s="110" t="s">
        <v>141</v>
      </c>
      <c r="C9" s="110"/>
      <c r="D9" s="110"/>
      <c r="E9" s="110"/>
    </row>
    <row r="10" customFormat="false" ht="15" hidden="false" customHeight="false" outlineLevel="0" collapsed="false">
      <c r="A10" s="110" t="s">
        <v>143</v>
      </c>
      <c r="B10" s="110" t="s">
        <v>144</v>
      </c>
      <c r="C10" s="110"/>
      <c r="D10" s="110"/>
      <c r="E10" s="110"/>
    </row>
    <row r="11" customFormat="false" ht="15" hidden="false" customHeight="false" outlineLevel="0" collapsed="false">
      <c r="A11" s="110" t="s">
        <v>145</v>
      </c>
      <c r="B11" s="110" t="s">
        <v>146</v>
      </c>
      <c r="C11" s="110"/>
      <c r="D11" s="110"/>
      <c r="E11" s="110"/>
    </row>
    <row r="12" customFormat="false" ht="15" hidden="false" customHeight="false" outlineLevel="0" collapsed="false">
      <c r="A12" s="110" t="s">
        <v>147</v>
      </c>
      <c r="B12" s="110" t="s">
        <v>148</v>
      </c>
      <c r="C12" s="110"/>
      <c r="D12" s="110"/>
      <c r="E12" s="110"/>
    </row>
    <row r="13" customFormat="false" ht="15" hidden="false" customHeight="false" outlineLevel="0" collapsed="false">
      <c r="A13" s="110" t="s">
        <v>149</v>
      </c>
      <c r="B13" s="110" t="s">
        <v>150</v>
      </c>
      <c r="C13" s="110"/>
      <c r="D13" s="110"/>
      <c r="E13" s="110"/>
    </row>
    <row r="14" customFormat="false" ht="15" hidden="false" customHeight="false" outlineLevel="0" collapsed="false">
      <c r="A14" s="110" t="s">
        <v>151</v>
      </c>
      <c r="B14" s="110" t="s">
        <v>152</v>
      </c>
      <c r="C14" s="110"/>
      <c r="D14" s="110"/>
      <c r="E14" s="110"/>
    </row>
    <row r="15" customFormat="false" ht="15" hidden="false" customHeight="false" outlineLevel="0" collapsed="false">
      <c r="A15" s="110"/>
      <c r="B15" s="110"/>
      <c r="C15" s="110"/>
      <c r="D15" s="110"/>
      <c r="E15" s="110"/>
    </row>
    <row r="16" customFormat="false" ht="15" hidden="false" customHeight="false" outlineLevel="0" collapsed="false">
      <c r="A16" s="110"/>
      <c r="B16" s="110"/>
      <c r="C16" s="110"/>
      <c r="D16" s="110"/>
      <c r="E16" s="110"/>
    </row>
    <row r="17" customFormat="false" ht="15" hidden="false" customHeight="false" outlineLevel="0" collapsed="false">
      <c r="A17" s="110"/>
      <c r="B17" s="110"/>
      <c r="C17" s="110"/>
      <c r="D17" s="110"/>
      <c r="E17" s="110"/>
    </row>
    <row r="18" customFormat="false" ht="15" hidden="false" customHeight="false" outlineLevel="0" collapsed="false">
      <c r="A18" s="110"/>
      <c r="B18" s="110"/>
      <c r="C18" s="110"/>
      <c r="D18" s="110"/>
      <c r="E18" s="110"/>
    </row>
    <row r="19" customFormat="false" ht="15" hidden="false" customHeight="false" outlineLevel="0" collapsed="false">
      <c r="A19" s="110"/>
      <c r="B19" s="110"/>
      <c r="C19" s="110"/>
      <c r="D19" s="110"/>
      <c r="E19" s="110"/>
    </row>
    <row r="20" customFormat="false" ht="15" hidden="false" customHeight="false" outlineLevel="0" collapsed="false">
      <c r="A20" s="110"/>
      <c r="B20" s="110"/>
      <c r="C20" s="110"/>
      <c r="D20" s="110"/>
      <c r="E20" s="110"/>
    </row>
    <row r="21" customFormat="false" ht="15" hidden="false" customHeight="false" outlineLevel="0" collapsed="false">
      <c r="A21" s="110"/>
      <c r="B21" s="110"/>
      <c r="C21" s="110"/>
      <c r="D21" s="110"/>
      <c r="E21" s="110"/>
    </row>
    <row r="22" customFormat="false" ht="15" hidden="false" customHeight="false" outlineLevel="0" collapsed="false">
      <c r="A22" s="110"/>
      <c r="B22" s="110"/>
      <c r="C22" s="110"/>
      <c r="D22" s="110"/>
      <c r="E22" s="110"/>
    </row>
    <row r="23" customFormat="false" ht="15" hidden="false" customHeight="false" outlineLevel="0" collapsed="false">
      <c r="A23" s="110"/>
      <c r="B23" s="110"/>
      <c r="C23" s="110"/>
      <c r="D23" s="110"/>
      <c r="E23" s="110"/>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59DA9939D4EAB4796CD11D35FA80828" ma:contentTypeVersion="1" ma:contentTypeDescription="Create a new document." ma:contentTypeScope="" ma:versionID="280622034487628551932e19f9b67e4b">
  <xsd:schema xmlns:xsd="http://www.w3.org/2001/XMLSchema" xmlns:xs="http://www.w3.org/2001/XMLSchema" xmlns:p="http://schemas.microsoft.com/office/2006/metadata/properties" xmlns:ns2="72d2ce5a-7ad6-49a7-8fa5-8befc56c681c" targetNamespace="http://schemas.microsoft.com/office/2006/metadata/properties" ma:root="true" ma:fieldsID="884e320e19264b04ef27a4dae7b7375b" ns2:_="">
    <xsd:import namespace="72d2ce5a-7ad6-49a7-8fa5-8befc56c681c"/>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d2ce5a-7ad6-49a7-8fa5-8befc56c681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1CE4F8-7539-47AE-9669-AE32EB65884F}">
  <ds:schemaRefs>
    <ds:schemaRef ds:uri="http://schemas.microsoft.com/sharepoint/v3/contenttype/forms"/>
  </ds:schemaRefs>
</ds:datastoreItem>
</file>

<file path=customXml/itemProps2.xml><?xml version="1.0" encoding="utf-8"?>
<ds:datastoreItem xmlns:ds="http://schemas.openxmlformats.org/officeDocument/2006/customXml" ds:itemID="{2CAB7335-583D-4882-A716-7A22D6BC7781}">
  <ds:schemaRefs>
    <ds:schemaRef ds:uri="http://www.w3.org/XML/1998/namespace"/>
    <ds:schemaRef ds:uri="72d2ce5a-7ad6-49a7-8fa5-8befc56c681c"/>
    <ds:schemaRef ds:uri="http://purl.org/dc/dcmitype/"/>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10733180-A130-4F70-A2A3-1A0B93CEDD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d2ce5a-7ad6-49a7-8fa5-8befc56c68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13</TotalTime>
  <Application>LibreOffice/25.8.7.3$Windows_X86_64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pt-BR</dc:language>
  <cp:lastModifiedBy/>
  <dcterms:modified xsi:type="dcterms:W3CDTF">2026-07-18T20:38:44Z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0x010100659DA9939D4EAB4796CD11D35FA80828</vt:lpwstr>
  </property>
</Properties>
</file>