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ual Output" sheetId="1" state="visible" r:id="rId3"/>
    <sheet name="Single Output" sheetId="2" state="visible" r:id="rId4"/>
    <sheet name="Vin UVLO Prog. &amp; Startup Delay" sheetId="3" state="visible" r:id="rId5"/>
  </sheets>
  <externalReferences>
    <externalReference r:id="rId6"/>
  </externalReferences>
  <definedNames>
    <definedName function="false" hidden="false" name="BUR" vbProcedure="false">#REF!</definedName>
    <definedName function="false" hidden="false" name="Cboot" vbProcedure="false">'[1]Main Calculation'!$D$148</definedName>
    <definedName function="false" hidden="false" name="CBootD_T" vbProcedure="false">#REF!</definedName>
    <definedName function="false" hidden="false" name="CBULK" vbProcedure="false">#REF!</definedName>
    <definedName function="false" hidden="false" name="CBULK_act" vbProcedure="false">#REF!</definedName>
    <definedName function="false" hidden="false" name="CBULK_rec" vbProcedure="false">#REF!</definedName>
    <definedName function="false" hidden="false" name="CBUR" vbProcedure="false">'[1]Main Calculation'!$D$124</definedName>
    <definedName function="false" hidden="false" name="CBUR_act" vbProcedure="false">'[1]Main Calculation'!$D$123</definedName>
    <definedName function="false" hidden="false" name="CBUR_rec" vbProcedure="false">'[1]Main Calculation'!$D$122</definedName>
    <definedName function="false" hidden="false" name="Cclamp" vbProcedure="false">'[1]Main Calculation'!$D$70</definedName>
    <definedName function="false" hidden="false" name="Cclamp_act" vbProcedure="false">'[1]Main Calculation'!$D$69</definedName>
    <definedName function="false" hidden="false" name="Cclamp_rec" vbProcedure="false">'[1]Main Calculation'!$D$68</definedName>
    <definedName function="false" hidden="false" name="CCS" vbProcedure="false">'[1]Main Calculation'!$D$97</definedName>
    <definedName function="false" hidden="false" name="CCS_act" vbProcedure="false">'[1]Main Calculation'!$D$96</definedName>
    <definedName function="false" hidden="false" name="CCS_rec" vbProcedure="false">'[1]Main Calculation'!$D$95</definedName>
    <definedName function="false" hidden="false" name="CDaux_H" vbProcedure="false">#REF!</definedName>
    <definedName function="false" hidden="false" name="CDaux_T" vbProcedure="false">#REF!</definedName>
    <definedName function="false" hidden="false" name="CDD1_act" vbProcedure="false">'[1]Main Calculation'!$D$163</definedName>
    <definedName function="false" hidden="false" name="CDD1_rec" vbProcedure="false">'[1]Main Calculation'!$D$162</definedName>
    <definedName function="false" hidden="false" name="CDD2_" vbProcedure="false">'[1]Main Calculation'!$D$150</definedName>
    <definedName function="false" hidden="false" name="CDD_1" vbProcedure="false">'[1]Main Calculation'!$D$164</definedName>
    <definedName function="false" hidden="false" name="Cdiff" vbProcedure="false">'[1]Main Calculation'!$D$195</definedName>
    <definedName function="false" hidden="false" name="Cdiff_act" vbProcedure="false">'[1]Main Calculation'!$D$194</definedName>
    <definedName function="false" hidden="false" name="Cdiff_rec" vbProcedure="false">'[1]Main Calculation'!$D$193</definedName>
    <definedName function="false" hidden="false" name="CDz" vbProcedure="false">#REF!</definedName>
    <definedName function="false" hidden="false" name="CFB" vbProcedure="false">'[1]Main Calculation'!$D$170</definedName>
    <definedName function="false" hidden="false" name="CHVG" vbProcedure="false">'[1]Main Calculation'!$D$140</definedName>
    <definedName function="false" hidden="false" name="CHVG_act" vbProcedure="false">'[1]Main Calculation'!$D$139</definedName>
    <definedName function="false" hidden="false" name="CHVG_rec" vbProcedure="false">'[1]Main Calculation'!$D$138</definedName>
    <definedName function="false" hidden="false" name="Cint" vbProcedure="false">'[1]Main Calculation'!$D$202</definedName>
    <definedName function="false" hidden="false" name="Cint_act" vbProcedure="false">'[1]Main Calculation'!$D$201</definedName>
    <definedName function="false" hidden="false" name="Cint_rec" vbProcedure="false">'[1]Main Calculation'!$D$200</definedName>
    <definedName function="false" hidden="false" name="Ciss_Qs" vbProcedure="false">#REF!</definedName>
    <definedName function="false" hidden="false" name="Co1_dec" vbProcedure="false">'[1]Secondary Resonance'!$E$23</definedName>
    <definedName function="false" hidden="false" name="COM_VEE" vbProcedure="false">#REF!</definedName>
    <definedName function="false" hidden="false" name="COSS_QH_bg" vbProcedure="false">#REF!</definedName>
    <definedName function="false" hidden="false" name="COSS_QH_sm" vbProcedure="false">#REF!</definedName>
    <definedName function="false" hidden="false" name="Coss_QH_T" vbProcedure="false">#REF!</definedName>
    <definedName function="false" hidden="false" name="COSS_QL_bg" vbProcedure="false">#REF!</definedName>
    <definedName function="false" hidden="false" name="COSS_QL_sm" vbProcedure="false">#REF!</definedName>
    <definedName function="false" hidden="false" name="COSS_Qs" vbProcedure="false">#REF!</definedName>
    <definedName function="false" hidden="false" name="Coss_SR_bg" vbProcedure="false">#REF!</definedName>
    <definedName function="false" hidden="false" name="COSS_SR_H" vbProcedure="false">#REF!</definedName>
    <definedName function="false" hidden="false" name="Coss_SR_sm" vbProcedure="false">#REF!</definedName>
    <definedName function="false" hidden="false" name="Coss_SR_T" vbProcedure="false">#REF!</definedName>
    <definedName function="false" hidden="false" name="COUT" vbProcedure="false">#REF!</definedName>
    <definedName function="false" hidden="false" name="COUT2" vbProcedure="false">#REF!</definedName>
    <definedName function="false" hidden="false" name="COUT2_MIN" vbProcedure="false">#REF!</definedName>
    <definedName function="false" hidden="false" name="COUT3" vbProcedure="false">#REF!</definedName>
    <definedName function="false" hidden="false" name="COUT3_MIN" vbProcedure="false">'dual output'!#ref!</definedName>
    <definedName function="false" hidden="false" name="COUT_act" vbProcedure="false">#REF!</definedName>
    <definedName function="false" hidden="false" name="COUT_rec" vbProcedure="false">#REF!</definedName>
    <definedName function="false" hidden="false" name="Co_1" vbProcedure="false">'[1]Secondary Resonance'!$E$25:$G$25</definedName>
    <definedName function="false" hidden="false" name="CREF" vbProcedure="false">'[1]Main Calculation'!$D$143</definedName>
    <definedName function="false" hidden="false" name="CREF_act" vbProcedure="false">'[1]Main Calculation'!$D$142</definedName>
    <definedName function="false" hidden="false" name="CREF_rec" vbProcedure="false">'[1]Main Calculation'!$D$141</definedName>
    <definedName function="false" hidden="false" name="CSWS" vbProcedure="false">'[1]Main Calculation'!$D$129</definedName>
    <definedName function="false" hidden="false" name="CSWS_act" vbProcedure="false">'[1]Main Calculation'!$D$128</definedName>
    <definedName function="false" hidden="false" name="CSWS_rec" vbProcedure="false">'[1]Main Calculation'!$D$127</definedName>
    <definedName function="false" hidden="false" name="CSW_T_nor" vbProcedure="false">'[1]Main Calculation'!$D$64</definedName>
    <definedName function="false" hidden="false" name="CTr" vbProcedure="false">'[1]Main Calculation'!$D$54</definedName>
    <definedName function="false" hidden="false" name="CTRmax" vbProcedure="false">#REF!</definedName>
    <definedName function="false" hidden="false" name="CTRmin" vbProcedure="false">#REF!</definedName>
    <definedName function="false" hidden="false" name="DBUR" vbProcedure="false">'[1]Hide Calculate'!$D$39</definedName>
    <definedName function="false" hidden="false" name="DBUR_min" vbProcedure="false">'[1]Hide Calculate'!$D$51</definedName>
    <definedName function="false" hidden="false" name="dCOUT2" vbProcedure="false">#REF!</definedName>
    <definedName function="false" hidden="false" name="dCOUT2_NEG" vbProcedure="false">#REF!</definedName>
    <definedName function="false" hidden="false" name="dCOUT2_POS" vbProcedure="false">#REF!</definedName>
    <definedName function="false" hidden="false" name="dCOUT3" vbProcedure="false">#REF!</definedName>
    <definedName function="false" hidden="false" name="dCOUT3_NEG" vbProcedure="false">#REF!</definedName>
    <definedName function="false" hidden="false" name="dCOUT3_POS" vbProcedure="false">#REF!</definedName>
    <definedName function="false" hidden="false" name="Differential_voltage_between_VDD_and_VEE__VDD___VEE" vbProcedure="false">"VDD-VEE"</definedName>
    <definedName function="false" hidden="false" name="Dmin" vbProcedure="false">'[1]Hide Calculate'!$D$67</definedName>
    <definedName function="false" hidden="false" name="DOPP_max" vbProcedure="false">'[1]Hide Calculate'!$D$28</definedName>
    <definedName function="false" hidden="false" name="DOPP_min" vbProcedure="false">'[1]Hide Calculate'!$D$19</definedName>
    <definedName function="false" hidden="false" name="DOPP_run" vbProcedure="false">'[1]Hide Calculate'!$D$12</definedName>
    <definedName function="false" hidden="false" name="DOPP_start" vbProcedure="false">'[1]Hide Calculate'!$D$59</definedName>
    <definedName function="false" hidden="false" name="Drea_CDD1" vbProcedure="false">'[1]Main Calculation'!$D$161</definedName>
    <definedName function="false" hidden="false" name="Drea_clamp" vbProcedure="false">'[1]Main Calculation'!$D$67</definedName>
    <definedName function="false" hidden="false" name="D_max" vbProcedure="false">'[1]Main Calculation'!$D$48</definedName>
    <definedName function="false" hidden="false" name="fBUR_LR" vbProcedure="false">'[1]Main Calculation'!$D$28</definedName>
    <definedName function="false" hidden="false" name="fBUR_standyby" vbProcedure="false">#REF!</definedName>
    <definedName function="false" hidden="false" name="fBUR_UP" vbProcedure="false">'[1]Main Calculation'!$D$29</definedName>
    <definedName function="false" hidden="false" name="Fcr_min" vbProcedure="false">#REF!</definedName>
    <definedName function="false" hidden="false" name="fLINE_min" vbProcedure="false">#REF!</definedName>
    <definedName function="false" hidden="false" name="fp_opto" vbProcedure="false">#REF!</definedName>
    <definedName function="false" hidden="false" name="fsw" vbProcedure="false">#REF!</definedName>
    <definedName function="false" hidden="false" name="fSWmin" vbProcedure="false">#REF!</definedName>
    <definedName function="false" hidden="false" name="fsw_BUR" vbProcedure="false">'[1]Hide Calculate'!$D$38</definedName>
    <definedName function="false" hidden="false" name="fsw_BUR_min" vbProcedure="false">'[1]Hide Calculate'!$D$50</definedName>
    <definedName function="false" hidden="false" name="fsw_min" vbProcedure="false">'[1]Hide Calculate'!$D$65</definedName>
    <definedName function="false" hidden="false" name="fsw_OPP_max" vbProcedure="false">'[1]Hide Calculate'!$D$27</definedName>
    <definedName function="false" hidden="false" name="fsw_OPP_min" vbProcedure="false">'[1]Hide Calculate'!$D$17</definedName>
    <definedName function="false" hidden="false" name="fsw_OPP_run" vbProcedure="false">'[1]Hide Calculate'!$D$9</definedName>
    <definedName function="false" hidden="false" name="fsw_OPP_start" vbProcedure="false">'[1]Hide Calculate'!$D$57</definedName>
    <definedName function="false" hidden="false" name="IDaux_max" vbProcedure="false">#REF!</definedName>
    <definedName function="false" hidden="false" name="ID_SR_max" vbProcedure="false">#REF!</definedName>
    <definedName function="false" hidden="false" name="IEN_VDD" vbProcedure="false">'[1]Main Calculation'!$D$23</definedName>
    <definedName function="false" hidden="false" name="IFB_max" vbProcedure="false">'[1]Main Calculation'!$D$26</definedName>
    <definedName function="false" hidden="false" name="IIN_BUR" vbProcedure="false">'[1]Hide Calculate'!$D$40</definedName>
    <definedName function="false" hidden="false" name="IIN_BUR_min" vbProcedure="false">'[1]Hide Calculate'!$D$52</definedName>
    <definedName function="false" hidden="false" name="IIN_min" vbProcedure="false">'[1]Hide Calculate'!$D$66</definedName>
    <definedName function="false" hidden="false" name="IIN_OPP_max" vbProcedure="false">'[1]Hide Calculate'!$D$29</definedName>
    <definedName function="false" hidden="false" name="IIN_OPP_min" vbProcedure="false">'[1]Hide Calculate'!$D$18</definedName>
    <definedName function="false" hidden="false" name="IIN_OPP_run" vbProcedure="false">'[1]Hide Calculate'!$D$10</definedName>
    <definedName function="false" hidden="false" name="IIN_OPP_start" vbProcedure="false">'[1]Hide Calculate'!$D$58</definedName>
    <definedName function="false" hidden="false" name="IKA_min" vbProcedure="false">#REF!</definedName>
    <definedName function="false" hidden="false" name="ILIM_DN" vbProcedure="false">#REF!</definedName>
    <definedName function="false" hidden="false" name="ILIM_MAX" vbProcedure="false">#REF!</definedName>
    <definedName function="false" hidden="false" name="ILIM_UP" vbProcedure="false">#REF!</definedName>
    <definedName function="false" hidden="false" name="ILIM_UP_TOT" vbProcedure="false">#REF!</definedName>
    <definedName function="false" hidden="false" name="IM_nega_BUR" vbProcedure="false">'[1]Hide Calculate'!$D$37</definedName>
    <definedName function="false" hidden="false" name="IM_nega_BUR_min" vbProcedure="false">'[1]Hide Calculate'!$D$49</definedName>
    <definedName function="false" hidden="false" name="IM_nega_max" vbProcedure="false">'[1]Hide Calculate'!$D$26</definedName>
    <definedName function="false" hidden="false" name="IM_nega_min" vbProcedure="false">'[1]Hide Calculate'!$D$64</definedName>
    <definedName function="false" hidden="false" name="IM_nega_OPP_min" vbProcedure="false">'[1]Hide Calculate'!$D$16</definedName>
    <definedName function="false" hidden="false" name="IM_nega_run" vbProcedure="false">'[1]Hide Calculate'!$D$11</definedName>
    <definedName function="false" hidden="false" name="IM_nega_start" vbProcedure="false">'[1]Hide Calculate'!$D$56</definedName>
    <definedName function="false" hidden="false" name="IOUT" vbProcedure="false">#REF!</definedName>
    <definedName function="false" hidden="false" name="ipk_BUR" vbProcedure="false">'[1]Hide Calculate'!$D$36</definedName>
    <definedName function="false" hidden="false" name="ipk_BUR_min" vbProcedure="false">'[1]Hide Calculate'!$D$48</definedName>
    <definedName function="false" hidden="false" name="ipk_min" vbProcedure="false">'[1]Hide Calculate'!$D$63</definedName>
    <definedName function="false" hidden="false" name="ipk_OPP_max" vbProcedure="false">'[1]Hide Calculate'!$D$25</definedName>
    <definedName function="false" hidden="false" name="ipk_OPP_min" vbProcedure="false">'[1]Hide Calculate'!$D$15</definedName>
    <definedName function="false" hidden="false" name="IQ" vbProcedure="false">#REF!</definedName>
    <definedName function="false" hidden="false" name="IQH_max" vbProcedure="false">#REF!</definedName>
    <definedName function="false" hidden="false" name="IQL_max" vbProcedure="false">#REF!</definedName>
    <definedName function="false" hidden="false" name="iQL_RMS" vbProcedure="false">'[1]Main Calculation'!$D$88</definedName>
    <definedName function="false" hidden="false" name="IQ_DRIVER" vbProcedure="false">#REF!</definedName>
    <definedName function="false" hidden="false" name="IQ_DRIVER_VDD" vbProcedure="false">#REF!</definedName>
    <definedName function="false" hidden="false" name="IQ_DRIVER_VDDS" vbProcedure="false">#REF!</definedName>
    <definedName function="false" hidden="false" name="IQ_DRIVER_VEE" vbProcedure="false">#REF!</definedName>
    <definedName function="false" hidden="false" name="IQ_OTHER_VDD" vbProcedure="false">'Dual Output'!$C$18</definedName>
    <definedName function="false" hidden="false" name="IQ_OTHER_VDDS" vbProcedure="false">#REF!</definedName>
    <definedName function="false" hidden="false" name="IQ_OTHER_VEE" vbProcedure="false">'dual output'!#ref!</definedName>
    <definedName function="false" hidden="false" name="IQ_VDD" vbProcedure="false">'Dual Output'!$C$20</definedName>
    <definedName function="false" hidden="false" name="IQ_VDD_COM" vbProcedure="false">'Dual Output'!$C$20</definedName>
    <definedName function="false" hidden="false" name="IQ_VEE" vbProcedure="false">'Dual Output'!$C$19</definedName>
    <definedName function="false" hidden="false" name="Iref_431" vbProcedure="false">#REF!</definedName>
    <definedName function="false" hidden="false" name="Iref_431_max" vbProcedure="false">#REF!</definedName>
    <definedName function="false" hidden="false" name="IRLIM_CAP" vbProcedure="false">#REF!</definedName>
    <definedName function="false" hidden="false" name="IRUN_VDD" vbProcedure="false">'[1]Main Calculation'!$D$19</definedName>
    <definedName function="false" hidden="false" name="Istart_HVG" vbProcedure="false">'[1]Main Calculation'!$D$22</definedName>
    <definedName function="false" hidden="false" name="IVCC_qcc" vbProcedure="false">#REF!</definedName>
    <definedName function="false" hidden="false" name="IVCC_sw" vbProcedure="false">'[1]Hide Calculate'!$D$60</definedName>
    <definedName function="false" hidden="false" name="iVSL_BUR" vbProcedure="false">'[1]Hide Calculate'!$D$41</definedName>
    <definedName function="false" hidden="false" name="iVSL_max" vbProcedure="false">'[1]Hide Calculate'!$D$31</definedName>
    <definedName function="false" hidden="false" name="IVSL_run" vbProcedure="false">'[1]Main Calculation'!$D$7</definedName>
    <definedName function="false" hidden="false" name="Iwait_VDD" vbProcedure="false">'[1]Main Calculation'!$D$20</definedName>
    <definedName function="false" hidden="false" name="I_COM_VEE" vbProcedure="false">'dual output'!#ref!</definedName>
    <definedName function="false" hidden="false" name="I_MAX_POWER" vbProcedure="false">'dual output'!#ref!</definedName>
    <definedName function="false" hidden="false" name="I_STEP" vbProcedure="false">#REF!</definedName>
    <definedName function="false" hidden="false" name="I_TOTAL_VDDS" vbProcedure="false">#REF!</definedName>
    <definedName function="false" hidden="false" name="I_VDD_COM" vbProcedure="false">'Dual Output'!$C$20</definedName>
    <definedName function="false" hidden="false" name="KBUR_CST" vbProcedure="false">'[1]Main Calculation'!$D$17</definedName>
    <definedName function="false" hidden="false" name="KCTR_Temp" vbProcedure="false">#REF!</definedName>
    <definedName function="false" hidden="false" name="Kder" vbProcedure="false">#REF!</definedName>
    <definedName function="false" hidden="false" name="Kder_SR" vbProcedure="false">#REF!</definedName>
    <definedName function="false" hidden="false" name="KDM" vbProcedure="false">'[1]Main Calculation'!$D$16</definedName>
    <definedName function="false" hidden="false" name="KLC" vbProcedure="false">'[1]Main Calculation'!$D$15</definedName>
    <definedName function="false" hidden="false" name="KRES" vbProcedure="false">'[1]Main Calculation'!$D$32</definedName>
    <definedName function="false" hidden="false" name="KTZ" vbProcedure="false">#REF!</definedName>
    <definedName function="false" hidden="false" name="KVC" vbProcedure="false">'[1]Hide Calculate'!$D$68</definedName>
    <definedName function="false" hidden="false" name="kZmax" vbProcedure="false">'[1]hide calculate'!#ref!</definedName>
    <definedName function="false" hidden="false" name="LK_actual" vbProcedure="false">'[1]Main Calculation'!$D$52</definedName>
    <definedName function="false" hidden="false" name="LM" vbProcedure="false">'[1]Main Calculation'!$D$51</definedName>
    <definedName function="false" hidden="false" name="LM_actual" vbProcedure="false">'[1]Main Calculation'!$D$50</definedName>
    <definedName function="false" hidden="false" name="LM_recommended" vbProcedure="false">'[1]Main Calculation'!$D$49</definedName>
    <definedName function="false" hidden="false" name="Lo" vbProcedure="false">'[1]Secondary Resonance'!$E$28</definedName>
    <definedName function="false" hidden="false" name="LQs" vbProcedure="false">#REF!</definedName>
    <definedName function="false" hidden="false" name="NA" vbProcedure="false">'[1]Main Calculation'!$D$46</definedName>
    <definedName function="false" hidden="false" name="Na1_" vbProcedure="false">'[1]Burst Mode for USB-PD'!$B$5</definedName>
    <definedName function="false" hidden="false" name="Na2_" vbProcedure="false">'[1]Burst Mode for USB-PD'!$B$6</definedName>
    <definedName function="false" hidden="false" name="NA_act" vbProcedure="false">'[1]main calculation'!#ref!</definedName>
    <definedName function="false" hidden="false" name="NP" vbProcedure="false">'[1]Main Calculation'!$D$41</definedName>
    <definedName function="false" hidden="false" name="NPS" vbProcedure="false">'[1]Main Calculation'!$D$40</definedName>
    <definedName function="false" hidden="false" name="NPS_actual" vbProcedure="false">'[1]main calculation'!#ref!</definedName>
    <definedName function="false" hidden="false" name="NPS_recommended" vbProcedure="false">'[1]main calculation'!#ref!</definedName>
    <definedName function="false" hidden="false" name="NS" vbProcedure="false">'[1]Main Calculation'!$D$42</definedName>
    <definedName function="false" hidden="false" name="NSS" vbProcedure="false">'[1]Main Calculation'!$D$43</definedName>
    <definedName function="false" hidden="false" name="NS_" vbProcedure="false">'[1]Burst Mode for USB-PD'!$B$7</definedName>
    <definedName function="false" hidden="false" name="OPP" vbProcedure="false">#REF!</definedName>
    <definedName function="false" hidden="false" name="OVP" vbProcedure="false">#REF!</definedName>
    <definedName function="false" hidden="false" name="PERCENT_VPP_MAX" vbProcedure="false">'Dual Output'!$C$22</definedName>
    <definedName function="false" hidden="false" name="PERCENT_VPP_MAX_VDD" vbProcedure="false">'Dual Output'!$C$22</definedName>
    <definedName function="false" hidden="false" name="PERCENT_VPP_MAX_VEE" vbProcedure="false">'Dual Output'!$C$23</definedName>
    <definedName function="false" hidden="false" name="Po" vbProcedure="false">#REF!</definedName>
    <definedName function="false" hidden="false" name="PO_FL" vbProcedure="false">#REF!</definedName>
    <definedName function="false" hidden="false" name="PRcs" vbProcedure="false">'[1]Main Calculation'!$D$89</definedName>
    <definedName function="false" hidden="false" name="PRLIM" vbProcedure="false">#REF!</definedName>
    <definedName function="false" hidden="false" name="P_MAX" vbProcedure="false">'dual output'!#ref!</definedName>
    <definedName function="false" hidden="false" name="Qgtot" vbProcedure="false">#REF!</definedName>
    <definedName function="false" hidden="false" name="Qg_Qh" vbProcedure="false">'[1]Hide Calculate'!$D$47</definedName>
    <definedName function="false" hidden="false" name="Rbias1" vbProcedure="false">'[1]Main Calculation'!$D$179</definedName>
    <definedName function="false" hidden="false" name="Rbias1_max_ABM" vbProcedure="false">'[1]Main Calculation'!$D$176</definedName>
    <definedName function="false" hidden="false" name="Rbias1_max_SBP" vbProcedure="false">'[1]Main Calculation'!$D$175</definedName>
    <definedName function="false" hidden="false" name="Rbias2" vbProcedure="false">'[1]Main Calculation'!$D$174</definedName>
    <definedName function="false" hidden="false" name="Rbias2_act" vbProcedure="false">'[1]Main Calculation'!$D$173</definedName>
    <definedName function="false" hidden="false" name="Rbias2_rec" vbProcedure="false">'[1]Main Calculation'!$D$172</definedName>
    <definedName function="false" hidden="false" name="RBLEED" vbProcedure="false">'[1]Main Calculation'!$D$73</definedName>
    <definedName function="false" hidden="false" name="RBLEED_act" vbProcedure="false">'[1]Main Calculation'!$D$72</definedName>
    <definedName function="false" hidden="false" name="RBLEED_rec" vbProcedure="false">'[1]main calculation'!#ref!</definedName>
    <definedName function="false" hidden="false" name="RBLEED_recc" vbProcedure="false">'[1]Main Calculation'!$D$71</definedName>
    <definedName function="false" hidden="false" name="RBUR1" vbProcedure="false">'[1]Main Calculation'!$D$118</definedName>
    <definedName function="false" hidden="false" name="RBUR1_act" vbProcedure="false">'[1]Main Calculation'!$D$117</definedName>
    <definedName function="false" hidden="false" name="RBUR1_rec" vbProcedure="false">'[1]Main Calculation'!$D$116</definedName>
    <definedName function="false" hidden="false" name="RBUR2" vbProcedure="false">'[1]Main Calculation'!$D$115</definedName>
    <definedName function="false" hidden="false" name="RBUR2_act" vbProcedure="false">'[1]Main Calculation'!$D$114</definedName>
    <definedName function="false" hidden="false" name="RBUR2_rec" vbProcedure="false">'[1]Main Calculation'!$D$113</definedName>
    <definedName function="false" hidden="false" name="RCO" vbProcedure="false">#REF!</definedName>
    <definedName function="false" hidden="false" name="RCOMP" vbProcedure="false">'[1]Main Calculation'!$D$171</definedName>
    <definedName function="false" hidden="false" name="RCS" vbProcedure="false">'[1]Main Calculation'!$D$87</definedName>
    <definedName function="false" hidden="false" name="RCS_act" vbProcedure="false">'[1]Main Calculation'!$D$86</definedName>
    <definedName function="false" hidden="false" name="RCS_rec" vbProcedure="false">'[1]Main Calculation'!$D$85</definedName>
    <definedName function="false" hidden="false" name="RDD1_act" vbProcedure="false">'[1]Main Calculation'!$D$157</definedName>
    <definedName function="false" hidden="false" name="RDD1_rec" vbProcedure="false">'[1]Main Calculation'!$D$156</definedName>
    <definedName function="false" hidden="false" name="RDD2_" vbProcedure="false">'[1]Main Calculation'!$D$152</definedName>
    <definedName function="false" hidden="false" name="RDD_1" vbProcedure="false">'[1]Main Calculation'!$D$158</definedName>
    <definedName function="false" hidden="false" name="Rdiff" vbProcedure="false">'[1]Main Calculation'!$D$198</definedName>
    <definedName function="false" hidden="false" name="Rdiff_act" vbProcedure="false">'[1]Main Calculation'!$D$197</definedName>
    <definedName function="false" hidden="false" name="Rdiff_rec" vbProcedure="false">'[1]Main Calculation'!$D$196</definedName>
    <definedName function="false" hidden="false" name="RDM" vbProcedure="false">'[1]Main Calculation'!$D$103</definedName>
    <definedName function="false" hidden="false" name="RDM_act" vbProcedure="false">'[1]Main Calculation'!$D$102</definedName>
    <definedName function="false" hidden="false" name="RDM_rec" vbProcedure="false">'[1]Main Calculation'!$D$101</definedName>
    <definedName function="false" hidden="false" name="RDSon_QH" vbProcedure="false">#REF!</definedName>
    <definedName function="false" hidden="false" name="RDSon_QL" vbProcedure="false">#REF!</definedName>
    <definedName function="false" hidden="false" name="RFB" vbProcedure="false">'[1]Main Calculation'!$D$169</definedName>
    <definedName function="false" hidden="false" name="RFB_act" vbProcedure="false">'[1]Main Calculation'!$D$168</definedName>
    <definedName function="false" hidden="false" name="RFB_int" vbProcedure="false">'[1]Main Calculation'!$D$25</definedName>
    <definedName function="false" hidden="false" name="RFB_max" vbProcedure="false">'[1]Main Calculation'!$D$167</definedName>
    <definedName function="false" hidden="false" name="RHVG" vbProcedure="false">'[1]Main Calculation'!$D$137</definedName>
    <definedName function="false" hidden="false" name="RHVG_act" vbProcedure="false">'[1]Main Calculation'!$D$136</definedName>
    <definedName function="false" hidden="false" name="RHVG_rec" vbProcedure="false">'[1]Main Calculation'!$D$135</definedName>
    <definedName function="false" hidden="false" name="RLIM" vbProcedure="false">#REF!</definedName>
    <definedName function="false" hidden="false" name="RLIM_DN" vbProcedure="false">#REF!</definedName>
    <definedName function="false" hidden="false" name="RLIM_MAX" vbProcedure="false">#REF!</definedName>
    <definedName function="false" hidden="false" name="RLIM_UP" vbProcedure="false">#REF!</definedName>
    <definedName function="false" hidden="false" name="Rpri_dc" vbProcedure="false">'[1]Main Calculation'!$D$55</definedName>
    <definedName function="false" hidden="false" name="RSWS" vbProcedure="false">'[1]Main Calculation'!$D$132</definedName>
    <definedName function="false" hidden="false" name="RSWS_act" vbProcedure="false">'[1]Main Calculation'!$D$131</definedName>
    <definedName function="false" hidden="false" name="RSWS_rec" vbProcedure="false">'[1]Main Calculation'!$D$130</definedName>
    <definedName function="false" hidden="false" name="RTZ" vbProcedure="false">'[1]Main Calculation'!$D$109</definedName>
    <definedName function="false" hidden="false" name="RTZ_act" vbProcedure="false">'[1]Main Calculation'!$D$108</definedName>
    <definedName function="false" hidden="false" name="RTZ_rec" vbProcedure="false">'[1]Main Calculation'!$D$107</definedName>
    <definedName function="false" hidden="false" name="Rvo1_" vbProcedure="false">'[1]Main Calculation'!$D$188</definedName>
    <definedName function="false" hidden="false" name="Rvo1_act" vbProcedure="false">'[1]Main Calculation'!$D$187</definedName>
    <definedName function="false" hidden="false" name="Rvo1_rec" vbProcedure="false">'[1]Main Calculation'!$D$186</definedName>
    <definedName function="false" hidden="false" name="Rvo2_" vbProcedure="false">'[1]Main Calculation'!$D$185</definedName>
    <definedName function="false" hidden="false" name="Rvo2_act" vbProcedure="false">'[1]Main Calculation'!$D$184</definedName>
    <definedName function="false" hidden="false" name="Rvo2_rec" vbProcedure="false">'[1]Main Calculation'!$D$183</definedName>
    <definedName function="false" hidden="false" name="RVS1_act" vbProcedure="false">'[1]Main Calculation'!$D$77</definedName>
    <definedName function="false" hidden="false" name="RVS1_rec" vbProcedure="false">'[1]Main Calculation'!$D$76</definedName>
    <definedName function="false" hidden="false" name="RVS2_act" vbProcedure="false">'[1]Main Calculation'!$D$80</definedName>
    <definedName function="false" hidden="false" name="RVS2_rec" vbProcedure="false">'[1]Main Calculation'!$D$79</definedName>
    <definedName function="false" hidden="false" name="RVS_1" vbProcedure="false">'[1]Main Calculation'!$D$78</definedName>
    <definedName function="false" hidden="false" name="RVS_2" vbProcedure="false">'[1]Main Calculation'!$D$81</definedName>
    <definedName function="false" hidden="false" name="R_2" vbProcedure="false">#REF!</definedName>
    <definedName function="false" hidden="false" name="R_4" vbProcedure="false">#REF!</definedName>
    <definedName function="false" hidden="false" name="R_OPP" vbProcedure="false">'[1]Main Calculation'!$D$94</definedName>
    <definedName function="false" hidden="false" name="SET" vbProcedure="false">#REF!</definedName>
    <definedName function="false" hidden="false" name="SETPIN" vbProcedure="false">#REF!</definedName>
    <definedName function="false" hidden="false" name="STEP_DUTY" vbProcedure="false">#REF!</definedName>
    <definedName function="false" hidden="false" name="tD_CS" vbProcedure="false">'[1]Main Calculation'!$D$9</definedName>
    <definedName function="false" hidden="false" name="tD_CST" vbProcedure="false">'[1]Hide Calculate'!$D$22</definedName>
    <definedName function="false" hidden="false" name="TD_CS_filter" vbProcedure="false">'[1]Main Calculation'!$D$84</definedName>
    <definedName function="false" hidden="false" name="TD_HDr" vbProcedure="false">#REF!</definedName>
    <definedName function="false" hidden="false" name="TD_LDr" vbProcedure="false">#REF!</definedName>
    <definedName function="false" hidden="false" name="tD_RUN_PWML" vbProcedure="false">'[1]Main Calculation'!$D$21</definedName>
    <definedName function="false" hidden="false" name="TFDR" vbProcedure="false">'[1]Main Calculation'!$D$30</definedName>
    <definedName function="false" hidden="false" name="THVG" vbProcedure="false">'[1]Main Calculation'!$D$159</definedName>
    <definedName function="false" hidden="false" name="tres" vbProcedure="false">'[1]hide calculate'!#ref!</definedName>
    <definedName function="false" hidden="false" name="Trise_max" vbProcedure="false">'[1]Hide Calculate'!$D$44</definedName>
    <definedName function="false" hidden="false" name="TSS_max" vbProcedure="false">'[1]Main Calculation'!$D$160</definedName>
    <definedName function="false" hidden="false" name="tSW" vbProcedure="false">'[1]hide calculate'!#ref!</definedName>
    <definedName function="false" hidden="false" name="tSWmax" vbProcedure="false">'[1]hide calculate'!#ref!</definedName>
    <definedName function="false" hidden="false" name="tSW_off" vbProcedure="false">'[1]hide calculate'!#ref!</definedName>
    <definedName function="false" hidden="false" name="tSW_on" vbProcedure="false">'[1]hide calculate'!#ref!</definedName>
    <definedName function="false" hidden="false" name="TZ_min" vbProcedure="false">'[1]Main Calculation'!$D$106</definedName>
    <definedName function="false" hidden="false" name="VBULKmin_tgt" vbProcedure="false">#REF!</definedName>
    <definedName function="false" hidden="false" name="Vbur1" vbProcedure="false">'[1]Burst Mode for USB-PD'!$E$9</definedName>
    <definedName function="false" hidden="false" name="Vbur2" vbProcedure="false">'[1]Burst Mode for USB-PD'!$E$10</definedName>
    <definedName function="false" hidden="false" name="VCE_sat_opto" vbProcedure="false">#REF!</definedName>
    <definedName function="false" hidden="false" name="Vcin_rated" vbProcedure="false">#REF!</definedName>
    <definedName function="false" hidden="false" name="Vclamp_max" vbProcedure="false">'[1]Hide Calculate'!$D$5</definedName>
    <definedName function="false" hidden="false" name="Vclamp_max_QH" vbProcedure="false">'[1]Hide Calculate'!$D$4</definedName>
    <definedName function="false" hidden="false" name="Vclamp_max_SR" vbProcedure="false">'[1]Hide Calculate'!$D$3</definedName>
    <definedName function="false" hidden="false" name="VCST_BUR" vbProcedure="false">'[1]Main Calculation'!$D$112</definedName>
    <definedName function="false" hidden="false" name="VCST_max" vbProcedure="false">'[1]Main Calculation'!$D$10</definedName>
    <definedName function="false" hidden="false" name="VCST_OPP1" vbProcedure="false">'[1]Main Calculation'!$D$11</definedName>
    <definedName function="false" hidden="false" name="VCST_OPP4" vbProcedure="false">'[1]Main Calculation'!$D$12</definedName>
    <definedName function="false" hidden="false" name="VDD" vbProcedure="false">'[1]Main Calculation'!$D$155</definedName>
    <definedName function="false" hidden="false" name="VDD_COM" vbProcedure="false">'Dual Output'!$C$13</definedName>
    <definedName function="false" hidden="false" name="VDD_max" vbProcedure="false">'[1]Main Calculation'!$D$5</definedName>
    <definedName function="false" hidden="false" name="VDD_off" vbProcedure="false">'[1]Main Calculation'!$D$3</definedName>
    <definedName function="false" hidden="false" name="VDD_on" vbProcedure="false">'[1]Main Calculation'!$D$4</definedName>
    <definedName function="false" hidden="false" name="VDD_PCT" vbProcedure="false">'[1]Main Calculation'!$D$6</definedName>
    <definedName function="false" hidden="false" name="VDD_VEE" vbProcedure="false">#REF!</definedName>
    <definedName function="false" hidden="false" name="VDS_actual" vbProcedure="false">#REF!</definedName>
    <definedName function="false" hidden="false" name="VDz" vbProcedure="false">#REF!</definedName>
    <definedName function="false" hidden="false" name="VD_LED" vbProcedure="false">#REF!</definedName>
    <definedName function="false" hidden="false" name="VD_LED_off" vbProcedure="false">#REF!</definedName>
    <definedName function="false" hidden="false" name="VFB_max" vbProcedure="false">'[1]Main Calculation'!$D$24</definedName>
    <definedName function="false" hidden="false" name="Vf_BootD" vbProcedure="false">#REF!</definedName>
    <definedName function="false" hidden="false" name="Vf_Daux" vbProcedure="false">#REF!</definedName>
    <definedName function="false" hidden="false" name="Vf_SR" vbProcedure="false">#REF!</definedName>
    <definedName function="false" hidden="false" name="Vgs_Qs" vbProcedure="false">#REF!</definedName>
    <definedName function="false" hidden="false" name="VHVG" vbProcedure="false">'[1]Main Calculation'!$D$18</definedName>
    <definedName function="false" hidden="false" name="Vhys_CS" vbProcedure="false">'[1]Main Calculation'!$D$13</definedName>
    <definedName function="false" hidden="false" name="VINPUT_Brownin" vbProcedure="false">#REF!</definedName>
    <definedName function="false" hidden="false" name="VINPUT_Brownout" vbProcedure="false">#REF!</definedName>
    <definedName function="false" hidden="false" name="VINPUT_BUR" vbProcedure="false">#REF!</definedName>
    <definedName function="false" hidden="false" name="VINPUT_max" vbProcedure="false">#REF!</definedName>
    <definedName function="false" hidden="false" name="VINPUT_nom" vbProcedure="false">#REF!</definedName>
    <definedName function="false" hidden="false" name="VIN_LOW" vbProcedure="false">#REF!</definedName>
    <definedName function="false" hidden="false" name="Vin_type" vbProcedure="false">#REF!</definedName>
    <definedName function="false" hidden="false" name="VLk_pri_max" vbProcedure="false">'[1]Hide Calculate'!$D$33</definedName>
    <definedName function="false" hidden="false" name="Voffset_CS_OPP" vbProcedure="false">'[1]Hide Calculate'!$D$30</definedName>
    <definedName function="false" hidden="false" name="Vomax" vbProcedure="false">'[1]Burst Mode for USB-PD'!$B$9</definedName>
    <definedName function="false" hidden="false" name="Vomin" vbProcedure="false">'[1]Burst Mode for USB-PD'!$B$10</definedName>
    <definedName function="false" hidden="false" name="VOUT" vbProcedure="false">#REF!</definedName>
    <definedName function="false" hidden="false" name="Vo_drop" vbProcedure="false">#REF!</definedName>
    <definedName function="false" hidden="false" name="VPP_MAX" vbProcedure="false">#REF!</definedName>
    <definedName function="false" hidden="false" name="Vref_431" vbProcedure="false">#REF!</definedName>
    <definedName function="false" hidden="false" name="VRfl" vbProcedure="false">'[1]Main Calculation'!$D$47</definedName>
    <definedName function="false" hidden="false" name="VR_pri_max" vbProcedure="false">'[1]Hide Calculate'!$D$32</definedName>
    <definedName function="false" hidden="false" name="VSR_actual" vbProcedure="false">#REF!</definedName>
    <definedName function="false" hidden="false" name="Vs_clamp" vbProcedure="false">'[1]Main Calculation'!$D$14</definedName>
    <definedName function="false" hidden="false" name="Vth_Qs" vbProcedure="false">#REF!</definedName>
    <definedName function="false" hidden="false" name="VVS_OVP" vbProcedure="false">'[1]Main Calculation'!$D$8</definedName>
    <definedName function="false" hidden="false" name="Vxh" vbProcedure="false">#REF!</definedName>
    <definedName function="false" hidden="false" name="Vxl" vbProcedure="false">#REF!</definedName>
    <definedName function="false" hidden="false" name="Vx_SR" vbProcedure="false">#REF!</definedName>
    <definedName function="false" hidden="false" name="_∆VO_ABM" vbProcedure="false">'[1]Main Calculation'!$D$27</definedName>
    <definedName function="false" hidden="false" name="_∆V_MIN" vbProcedure="false">'[1]Main Calculation'!$D$33</definedName>
    <definedName function="false" hidden="false" name="ΔVCLAMP" vbProcedure="false">'[1]Main Calculation'!$D$35</definedName>
    <definedName function="false" hidden="false" name="ΔVSPIKE" vbProcedure="false">'[1]Main Calculation'!$D$34</definedName>
    <definedName function="false" hidden="false" name="η" vbProcedure="false">'[1]Main Calculation'!$D$31</definedName>
    <definedName function="false" hidden="false" name="ηXFMR" vbProcedure="false">'[1]Main Calculation'!$D$53</definedName>
    <definedName function="false" hidden="false" name="η_min" vbProcedure="false">#REF!</definedName>
    <definedName function="false" hidden="false" localSheetId="0" name="BUR" vbProcedure="false">'dual output'!#ref!</definedName>
    <definedName function="false" hidden="false" localSheetId="0" name="CBootD_T" vbProcedure="false">'dual output'!#ref!</definedName>
    <definedName function="false" hidden="false" localSheetId="0" name="CBULK" vbProcedure="false">'dual output'!#ref!</definedName>
    <definedName function="false" hidden="false" localSheetId="0" name="CBULK_act" vbProcedure="false">'dual output'!#ref!</definedName>
    <definedName function="false" hidden="false" localSheetId="0" name="CBULK_rec" vbProcedure="false">'dual output'!#ref!</definedName>
    <definedName function="false" hidden="false" localSheetId="0" name="CDaux_H" vbProcedure="false">'dual output'!#ref!</definedName>
    <definedName function="false" hidden="false" localSheetId="0" name="CDaux_T" vbProcedure="false">'dual output'!#ref!</definedName>
    <definedName function="false" hidden="false" localSheetId="0" name="CDz" vbProcedure="false">'dual output'!#ref!</definedName>
    <definedName function="false" hidden="false" localSheetId="0" name="Ciss_Qs" vbProcedure="false">'dual output'!#ref!</definedName>
    <definedName function="false" hidden="false" localSheetId="0" name="COM_VEE" vbProcedure="false">'Dual Output'!$C$14</definedName>
    <definedName function="false" hidden="false" localSheetId="0" name="COSS_QH_bg" vbProcedure="false">'dual output'!#ref!</definedName>
    <definedName function="false" hidden="false" localSheetId="0" name="COSS_QH_sm" vbProcedure="false">'dual output'!#ref!</definedName>
    <definedName function="false" hidden="false" localSheetId="0" name="Coss_QH_T" vbProcedure="false">'dual output'!#ref!</definedName>
    <definedName function="false" hidden="false" localSheetId="0" name="COSS_QL_bg" vbProcedure="false">'dual output'!#ref!</definedName>
    <definedName function="false" hidden="false" localSheetId="0" name="COSS_QL_sm" vbProcedure="false">'dual output'!#ref!</definedName>
    <definedName function="false" hidden="false" localSheetId="0" name="COSS_Qs" vbProcedure="false">'dual output'!#ref!</definedName>
    <definedName function="false" hidden="false" localSheetId="0" name="Coss_SR_bg" vbProcedure="false">'dual output'!#ref!</definedName>
    <definedName function="false" hidden="false" localSheetId="0" name="COSS_SR_H" vbProcedure="false">'dual output'!#ref!</definedName>
    <definedName function="false" hidden="false" localSheetId="0" name="Coss_SR_sm" vbProcedure="false">'dual output'!#ref!</definedName>
    <definedName function="false" hidden="false" localSheetId="0" name="Coss_SR_T" vbProcedure="false">'dual output'!#ref!</definedName>
    <definedName function="false" hidden="false" localSheetId="0" name="COUT" vbProcedure="false">'dual output'!#ref!</definedName>
    <definedName function="false" hidden="false" localSheetId="0" name="COUT2" vbProcedure="false">'dual output'!#ref!</definedName>
    <definedName function="false" hidden="false" localSheetId="0" name="COUT2_MIN" vbProcedure="false">'dual output'!#ref!</definedName>
    <definedName function="false" hidden="false" localSheetId="0" name="COUT3" vbProcedure="false">'dual output'!#ref!</definedName>
    <definedName function="false" hidden="false" localSheetId="0" name="COUT_act" vbProcedure="false">'dual output'!#ref!</definedName>
    <definedName function="false" hidden="false" localSheetId="0" name="COUT_rec" vbProcedure="false">'dual output'!#ref!</definedName>
    <definedName function="false" hidden="false" localSheetId="0" name="CTRmax" vbProcedure="false">'dual output'!#ref!</definedName>
    <definedName function="false" hidden="false" localSheetId="0" name="CTRmin" vbProcedure="false">'dual output'!#ref!</definedName>
    <definedName function="false" hidden="false" localSheetId="0" name="dCOUT2" vbProcedure="false">'dual output'!#ref!</definedName>
    <definedName function="false" hidden="false" localSheetId="0" name="dCOUT2_NEG" vbProcedure="false">'dual output'!#ref!</definedName>
    <definedName function="false" hidden="false" localSheetId="0" name="dCOUT2_POS" vbProcedure="false">'dual output'!#ref!</definedName>
    <definedName function="false" hidden="false" localSheetId="0" name="dCOUT3" vbProcedure="false">'dual output'!#ref!</definedName>
    <definedName function="false" hidden="false" localSheetId="0" name="dCOUT3_NEG" vbProcedure="false">'dual output'!#ref!</definedName>
    <definedName function="false" hidden="false" localSheetId="0" name="dCOUT3_POS" vbProcedure="false">'dual output'!#ref!</definedName>
    <definedName function="false" hidden="false" localSheetId="0" name="fBUR_standyby" vbProcedure="false">'dual output'!#ref!</definedName>
    <definedName function="false" hidden="false" localSheetId="0" name="Fcr_min" vbProcedure="false">'dual output'!#ref!</definedName>
    <definedName function="false" hidden="false" localSheetId="0" name="fLINE_min" vbProcedure="false">'dual output'!#ref!</definedName>
    <definedName function="false" hidden="false" localSheetId="0" name="fp_opto" vbProcedure="false">'dual output'!#ref!</definedName>
    <definedName function="false" hidden="false" localSheetId="0" name="fsw" vbProcedure="false">'Dual Output'!$C$16</definedName>
    <definedName function="false" hidden="false" localSheetId="0" name="fSWmin" vbProcedure="false">'dual output'!#ref!</definedName>
    <definedName function="false" hidden="false" localSheetId="0" name="IDaux_max" vbProcedure="false">'dual output'!#ref!</definedName>
    <definedName function="false" hidden="false" localSheetId="0" name="ID_SR_max" vbProcedure="false">'dual output'!#ref!</definedName>
    <definedName function="false" hidden="false" localSheetId="0" name="IKA_min" vbProcedure="false">'dual output'!#ref!</definedName>
    <definedName function="false" hidden="false" localSheetId="0" name="ILIM_DN" vbProcedure="false">'dual output'!#ref!</definedName>
    <definedName function="false" hidden="false" localSheetId="0" name="ILIM_MAX" vbProcedure="false">'dual output'!#ref!</definedName>
    <definedName function="false" hidden="false" localSheetId="0" name="ILIM_UP" vbProcedure="false">'dual output'!#ref!</definedName>
    <definedName function="false" hidden="false" localSheetId="0" name="ILIM_UP_TOT" vbProcedure="false">'dual output'!#ref!</definedName>
    <definedName function="false" hidden="false" localSheetId="0" name="IOUT" vbProcedure="false">'dual output'!#ref!</definedName>
    <definedName function="false" hidden="false" localSheetId="0" name="IQH_max" vbProcedure="false">'dual output'!#ref!</definedName>
    <definedName function="false" hidden="false" localSheetId="0" name="IQL_max" vbProcedure="false">'dual output'!#ref!</definedName>
    <definedName function="false" hidden="false" localSheetId="0" name="IQ_DRIVER_VDD" vbProcedure="false">'Dual Output'!$C$17</definedName>
    <definedName function="false" hidden="false" localSheetId="0" name="IQ_DRIVER_VEE" vbProcedure="false">'dual output'!#ref!</definedName>
    <definedName function="false" hidden="false" localSheetId="0" name="Iref_431" vbProcedure="false">'dual output'!#ref!</definedName>
    <definedName function="false" hidden="false" localSheetId="0" name="Iref_431_max" vbProcedure="false">'dual output'!#ref!</definedName>
    <definedName function="false" hidden="false" localSheetId="0" name="IRLIM_CAP" vbProcedure="false">'dual output'!#ref!</definedName>
    <definedName function="false" hidden="false" localSheetId="0" name="IVCC_qcc" vbProcedure="false">'dual output'!#ref!</definedName>
    <definedName function="false" hidden="false" localSheetId="0" name="KCTR_Temp" vbProcedure="false">'dual output'!#ref!</definedName>
    <definedName function="false" hidden="false" localSheetId="0" name="Kder" vbProcedure="false">'dual output'!#ref!</definedName>
    <definedName function="false" hidden="false" localSheetId="0" name="Kder_SR" vbProcedure="false">'dual output'!#ref!</definedName>
    <definedName function="false" hidden="false" localSheetId="0" name="KTZ" vbProcedure="false">'dual output'!#ref!</definedName>
    <definedName function="false" hidden="false" localSheetId="0" name="kZmax" vbProcedure="false">'[1]hide calculate'!#ref!</definedName>
    <definedName function="false" hidden="false" localSheetId="0" name="LQs" vbProcedure="false">'dual output'!#ref!</definedName>
    <definedName function="false" hidden="false" localSheetId="0" name="NA_act" vbProcedure="false">'[1]main calculation'!#ref!</definedName>
    <definedName function="false" hidden="false" localSheetId="0" name="NPS_actual" vbProcedure="false">'[1]main calculation'!#ref!</definedName>
    <definedName function="false" hidden="false" localSheetId="0" name="NPS_recommended" vbProcedure="false">'[1]main calculation'!#ref!</definedName>
    <definedName function="false" hidden="false" localSheetId="0" name="OPP" vbProcedure="false">'dual output'!#ref!</definedName>
    <definedName function="false" hidden="false" localSheetId="0" name="OVP" vbProcedure="false">'dual output'!#ref!</definedName>
    <definedName function="false" hidden="false" localSheetId="0" name="Po" vbProcedure="false">'Dual Output'!$C$42</definedName>
    <definedName function="false" hidden="false" localSheetId="0" name="PO_FL" vbProcedure="false">'dual output'!#ref!</definedName>
    <definedName function="false" hidden="false" localSheetId="0" name="PRLIM" vbProcedure="false">'dual output'!#ref!</definedName>
    <definedName function="false" hidden="false" localSheetId="0" name="Qgtot" vbProcedure="false">'Dual Output'!$C$15</definedName>
    <definedName function="false" hidden="false" localSheetId="0" name="RBLEED_rec" vbProcedure="false">'[1]main calculation'!#ref!</definedName>
    <definedName function="false" hidden="false" localSheetId="0" name="RCO" vbProcedure="false">'dual output'!#ref!</definedName>
    <definedName function="false" hidden="false" localSheetId="0" name="RDSon_QH" vbProcedure="false">'dual output'!#ref!</definedName>
    <definedName function="false" hidden="false" localSheetId="0" name="RDSon_QL" vbProcedure="false">'dual output'!#ref!</definedName>
    <definedName function="false" hidden="false" localSheetId="0" name="RLIM" vbProcedure="false">'dual output'!#ref!</definedName>
    <definedName function="false" hidden="false" localSheetId="0" name="RLIM_DN" vbProcedure="false">'dual output'!#ref!</definedName>
    <definedName function="false" hidden="false" localSheetId="0" name="RLIM_MAX" vbProcedure="false">'dual output'!#ref!</definedName>
    <definedName function="false" hidden="false" localSheetId="0" name="RLIM_UP" vbProcedure="false">'dual output'!#ref!</definedName>
    <definedName function="false" hidden="false" localSheetId="0" name="R_2" vbProcedure="false">'Dual Output'!$C$21</definedName>
    <definedName function="false" hidden="false" localSheetId="0" name="R_4" vbProcedure="false">'dual output'!#ref!</definedName>
    <definedName function="false" hidden="false" localSheetId="0" name="SET" vbProcedure="false">'dual output'!#ref!</definedName>
    <definedName function="false" hidden="false" localSheetId="0" name="SETPIN" vbProcedure="false">'dual output'!#ref!</definedName>
    <definedName function="false" hidden="false" localSheetId="0" name="TD_HDr" vbProcedure="false">'dual output'!#ref!</definedName>
    <definedName function="false" hidden="false" localSheetId="0" name="TD_LDr" vbProcedure="false">'dual output'!#ref!</definedName>
    <definedName function="false" hidden="false" localSheetId="0" name="tres" vbProcedure="false">'[1]hide calculate'!#ref!</definedName>
    <definedName function="false" hidden="false" localSheetId="0" name="tSW" vbProcedure="false">'[1]hide calculate'!#ref!</definedName>
    <definedName function="false" hidden="false" localSheetId="0" name="tSWmax" vbProcedure="false">'[1]hide calculate'!#ref!</definedName>
    <definedName function="false" hidden="false" localSheetId="0" name="tSW_off" vbProcedure="false">'[1]hide calculate'!#ref!</definedName>
    <definedName function="false" hidden="false" localSheetId="0" name="tSW_on" vbProcedure="false">'[1]hide calculate'!#ref!</definedName>
    <definedName function="false" hidden="false" localSheetId="0" name="VBULKmin_tgt" vbProcedure="false">'dual output'!#ref!</definedName>
    <definedName function="false" hidden="false" localSheetId="0" name="VCE_sat_opto" vbProcedure="false">'dual output'!#ref!</definedName>
    <definedName function="false" hidden="false" localSheetId="0" name="Vcin_rated" vbProcedure="false">'dual output'!#ref!</definedName>
    <definedName function="false" hidden="false" localSheetId="0" name="VDD_VEE" vbProcedure="false">'dual output'!#ref!</definedName>
    <definedName function="false" hidden="false" localSheetId="0" name="VDS_actual" vbProcedure="false">'dual output'!#ref!</definedName>
    <definedName function="false" hidden="false" localSheetId="0" name="VDz" vbProcedure="false">'dual output'!#ref!</definedName>
    <definedName function="false" hidden="false" localSheetId="0" name="VD_LED" vbProcedure="false">'dual output'!#ref!</definedName>
    <definedName function="false" hidden="false" localSheetId="0" name="VD_LED_off" vbProcedure="false">'dual output'!#ref!</definedName>
    <definedName function="false" hidden="false" localSheetId="0" name="Vf_BootD" vbProcedure="false">'dual output'!#ref!</definedName>
    <definedName function="false" hidden="false" localSheetId="0" name="Vf_Daux" vbProcedure="false">'dual output'!#ref!</definedName>
    <definedName function="false" hidden="false" localSheetId="0" name="Vf_SR" vbProcedure="false">'dual output'!#ref!</definedName>
    <definedName function="false" hidden="false" localSheetId="0" name="Vgs_Qs" vbProcedure="false">'dual output'!#ref!</definedName>
    <definedName function="false" hidden="false" localSheetId="0" name="VINPUT_Brownin" vbProcedure="false">'dual output'!#ref!</definedName>
    <definedName function="false" hidden="false" localSheetId="0" name="VINPUT_Brownout" vbProcedure="false">'dual output'!#ref!</definedName>
    <definedName function="false" hidden="false" localSheetId="0" name="VINPUT_BUR" vbProcedure="false">'dual output'!#ref!</definedName>
    <definedName function="false" hidden="false" localSheetId="0" name="VINPUT_max" vbProcedure="false">'dual output'!#ref!</definedName>
    <definedName function="false" hidden="false" localSheetId="0" name="VINPUT_nom" vbProcedure="false">'dual output'!#ref!</definedName>
    <definedName function="false" hidden="false" localSheetId="0" name="VIN_LOW" vbProcedure="false">'dual output'!#ref!</definedName>
    <definedName function="false" hidden="false" localSheetId="0" name="Vin_type" vbProcedure="false">'dual output'!#ref!</definedName>
    <definedName function="false" hidden="false" localSheetId="0" name="VOUT" vbProcedure="false">'dual output'!#ref!</definedName>
    <definedName function="false" hidden="false" localSheetId="0" name="Vo_drop" vbProcedure="false">'dual output'!#ref!</definedName>
    <definedName function="false" hidden="false" localSheetId="0" name="VPP_MAX" vbProcedure="false">'dual output'!#ref!</definedName>
    <definedName function="false" hidden="false" localSheetId="0" name="Vref_431" vbProcedure="false">'dual output'!#ref!</definedName>
    <definedName function="false" hidden="false" localSheetId="0" name="VSR_actual" vbProcedure="false">'dual output'!#ref!</definedName>
    <definedName function="false" hidden="false" localSheetId="0" name="Vth_Qs" vbProcedure="false">'dual output'!#ref!</definedName>
    <definedName function="false" hidden="false" localSheetId="0" name="Vxh" vbProcedure="false">'dual output'!#ref!</definedName>
    <definedName function="false" hidden="false" localSheetId="0" name="Vxl" vbProcedure="false">'dual output'!#ref!</definedName>
    <definedName function="false" hidden="false" localSheetId="0" name="Vx_SR" vbProcedure="false">'dual output'!#ref!</definedName>
    <definedName function="false" hidden="false" localSheetId="0" name="η_min" vbProcedure="false">'dual output'!#ref!</definedName>
    <definedName function="false" hidden="false" localSheetId="1" name="BUR" vbProcedure="false">'single output'!#ref!</definedName>
    <definedName function="false" hidden="false" localSheetId="1" name="CBootD_T" vbProcedure="false">'single output'!#ref!</definedName>
    <definedName function="false" hidden="false" localSheetId="1" name="CBULK" vbProcedure="false">'single output'!#ref!</definedName>
    <definedName function="false" hidden="false" localSheetId="1" name="CBULK_act" vbProcedure="false">'single output'!#ref!</definedName>
    <definedName function="false" hidden="false" localSheetId="1" name="CBULK_rec" vbProcedure="false">'single output'!#ref!</definedName>
    <definedName function="false" hidden="false" localSheetId="1" name="CDaux_H" vbProcedure="false">'single output'!#ref!</definedName>
    <definedName function="false" hidden="false" localSheetId="1" name="CDaux_T" vbProcedure="false">'single output'!#ref!</definedName>
    <definedName function="false" hidden="false" localSheetId="1" name="CDz" vbProcedure="false">'single output'!#ref!</definedName>
    <definedName function="false" hidden="false" localSheetId="1" name="Ciss_Qs" vbProcedure="false">'single output'!#ref!</definedName>
    <definedName function="false" hidden="false" localSheetId="1" name="COM_VEE" vbProcedure="false">'single output'!#ref!</definedName>
    <definedName function="false" hidden="false" localSheetId="1" name="COSS_QH_bg" vbProcedure="false">'single output'!#ref!</definedName>
    <definedName function="false" hidden="false" localSheetId="1" name="COSS_QH_sm" vbProcedure="false">'single output'!#ref!</definedName>
    <definedName function="false" hidden="false" localSheetId="1" name="Coss_QH_T" vbProcedure="false">'single output'!#ref!</definedName>
    <definedName function="false" hidden="false" localSheetId="1" name="COSS_QL_bg" vbProcedure="false">'single output'!#ref!</definedName>
    <definedName function="false" hidden="false" localSheetId="1" name="COSS_QL_sm" vbProcedure="false">'single output'!#ref!</definedName>
    <definedName function="false" hidden="false" localSheetId="1" name="COSS_Qs" vbProcedure="false">'single output'!#ref!</definedName>
    <definedName function="false" hidden="false" localSheetId="1" name="Coss_SR_bg" vbProcedure="false">'single output'!#ref!</definedName>
    <definedName function="false" hidden="false" localSheetId="1" name="COSS_SR_H" vbProcedure="false">'single output'!#ref!</definedName>
    <definedName function="false" hidden="false" localSheetId="1" name="Coss_SR_sm" vbProcedure="false">'single output'!#ref!</definedName>
    <definedName function="false" hidden="false" localSheetId="1" name="Coss_SR_T" vbProcedure="false">'single output'!#ref!</definedName>
    <definedName function="false" hidden="false" localSheetId="1" name="COUT" vbProcedure="false">'single output'!#ref!</definedName>
    <definedName function="false" hidden="false" localSheetId="1" name="COUT2" vbProcedure="false">'single output'!#ref!</definedName>
    <definedName function="false" hidden="false" localSheetId="1" name="COUT2_MIN" vbProcedure="false">'single output'!#ref!</definedName>
    <definedName function="false" hidden="false" localSheetId="1" name="COUT3" vbProcedure="false">'single output'!#ref!</definedName>
    <definedName function="false" hidden="false" localSheetId="1" name="COUT3_MIN" vbProcedure="false">'single output'!#ref!</definedName>
    <definedName function="false" hidden="false" localSheetId="1" name="COUT_act" vbProcedure="false">'single output'!#ref!</definedName>
    <definedName function="false" hidden="false" localSheetId="1" name="COUT_rec" vbProcedure="false">'single output'!#ref!</definedName>
    <definedName function="false" hidden="false" localSheetId="1" name="CTRmax" vbProcedure="false">'single output'!#ref!</definedName>
    <definedName function="false" hidden="false" localSheetId="1" name="CTRmin" vbProcedure="false">'single output'!#ref!</definedName>
    <definedName function="false" hidden="false" localSheetId="1" name="dCOUT2" vbProcedure="false">'single output'!#ref!</definedName>
    <definedName function="false" hidden="false" localSheetId="1" name="dCOUT2_NEG" vbProcedure="false">'single output'!#ref!</definedName>
    <definedName function="false" hidden="false" localSheetId="1" name="dCOUT2_POS" vbProcedure="false">'single output'!#ref!</definedName>
    <definedName function="false" hidden="false" localSheetId="1" name="dCOUT3" vbProcedure="false">'single output'!#ref!</definedName>
    <definedName function="false" hidden="false" localSheetId="1" name="dCOUT3_NEG" vbProcedure="false">'single output'!#ref!</definedName>
    <definedName function="false" hidden="false" localSheetId="1" name="dCOUT3_POS" vbProcedure="false">'single output'!#ref!</definedName>
    <definedName function="false" hidden="false" localSheetId="1" name="fBUR_standyby" vbProcedure="false">'single output'!#ref!</definedName>
    <definedName function="false" hidden="false" localSheetId="1" name="Fcr_min" vbProcedure="false">'single output'!#ref!</definedName>
    <definedName function="false" hidden="false" localSheetId="1" name="fLINE_min" vbProcedure="false">'single output'!#ref!</definedName>
    <definedName function="false" hidden="false" localSheetId="1" name="fp_opto" vbProcedure="false">'single output'!#ref!</definedName>
    <definedName function="false" hidden="false" localSheetId="1" name="fsw" vbProcedure="false">'Single Output'!$C$15</definedName>
    <definedName function="false" hidden="false" localSheetId="1" name="fSWmin" vbProcedure="false">'single output'!#ref!</definedName>
    <definedName function="false" hidden="false" localSheetId="1" name="IDaux_max" vbProcedure="false">'single output'!#ref!</definedName>
    <definedName function="false" hidden="false" localSheetId="1" name="ID_SR_max" vbProcedure="false">'single output'!#ref!</definedName>
    <definedName function="false" hidden="false" localSheetId="1" name="IKA_min" vbProcedure="false">'single output'!#ref!</definedName>
    <definedName function="false" hidden="false" localSheetId="1" name="ILIM_DN" vbProcedure="false">'single output'!#ref!</definedName>
    <definedName function="false" hidden="false" localSheetId="1" name="ILIM_MAX" vbProcedure="false">'single output'!#ref!</definedName>
    <definedName function="false" hidden="false" localSheetId="1" name="ILIM_UP" vbProcedure="false">'single output'!#ref!</definedName>
    <definedName function="false" hidden="false" localSheetId="1" name="ILIM_UP_TOT" vbProcedure="false">'single output'!#ref!</definedName>
    <definedName function="false" hidden="false" localSheetId="1" name="IOUT" vbProcedure="false">'single output'!#ref!</definedName>
    <definedName function="false" hidden="false" localSheetId="1" name="IQ" vbProcedure="false">#REF!</definedName>
    <definedName function="false" hidden="false" localSheetId="1" name="IQH_max" vbProcedure="false">'single output'!#ref!</definedName>
    <definedName function="false" hidden="false" localSheetId="1" name="IQL_max" vbProcedure="false">'single output'!#ref!</definedName>
    <definedName function="false" hidden="false" localSheetId="1" name="IQ_DRIVER" vbProcedure="false">#REF!</definedName>
    <definedName function="false" hidden="false" localSheetId="1" name="IQ_DRIVER_VDD" vbProcedure="false">'Single Output'!$C$16</definedName>
    <definedName function="false" hidden="false" localSheetId="1" name="IQ_DRIVER_VDDS" vbProcedure="false">#REF!</definedName>
    <definedName function="false" hidden="false" localSheetId="1" name="IQ_DRIVER_VEE" vbProcedure="false">'single output'!#ref!</definedName>
    <definedName function="false" hidden="false" localSheetId="1" name="IQ_OTHER_VDD" vbProcedure="false">'Single Output'!$C$17</definedName>
    <definedName function="false" hidden="false" localSheetId="1" name="IQ_OTHER_VDDS" vbProcedure="false">#REF!</definedName>
    <definedName function="false" hidden="false" localSheetId="1" name="IQ_OTHER_VEE" vbProcedure="false">'single output'!#ref!</definedName>
    <definedName function="false" hidden="false" localSheetId="1" name="IQ_VDD" vbProcedure="false">'Single Output'!$C$18</definedName>
    <definedName function="false" hidden="false" localSheetId="1" name="IQ_VDD_COM" vbProcedure="false">'Single Output'!$C$18</definedName>
    <definedName function="false" hidden="false" localSheetId="1" name="IQ_VEE" vbProcedure="false">'single output'!#ref!</definedName>
    <definedName function="false" hidden="false" localSheetId="1" name="Iref_431" vbProcedure="false">'single output'!#ref!</definedName>
    <definedName function="false" hidden="false" localSheetId="1" name="Iref_431_max" vbProcedure="false">'single output'!#ref!</definedName>
    <definedName function="false" hidden="false" localSheetId="1" name="IRLIM_CAP" vbProcedure="false">'single output'!#ref!</definedName>
    <definedName function="false" hidden="false" localSheetId="1" name="IVCC_qcc" vbProcedure="false">'single output'!#ref!</definedName>
    <definedName function="false" hidden="false" localSheetId="1" name="I_COM_VEE" vbProcedure="false">'single output'!#ref!</definedName>
    <definedName function="false" hidden="false" localSheetId="1" name="I_MAX_POWER" vbProcedure="false">'single output'!#ref!</definedName>
    <definedName function="false" hidden="false" localSheetId="1" name="I_STEP" vbProcedure="false">#REF!</definedName>
    <definedName function="false" hidden="false" localSheetId="1" name="I_TOTAL_VDDS" vbProcedure="false">#REF!</definedName>
    <definedName function="false" hidden="false" localSheetId="1" name="I_VDD_COM" vbProcedure="false">'Single Output'!$C$18</definedName>
    <definedName function="false" hidden="false" localSheetId="1" name="KCTR_Temp" vbProcedure="false">'single output'!#ref!</definedName>
    <definedName function="false" hidden="false" localSheetId="1" name="Kder" vbProcedure="false">'single output'!#ref!</definedName>
    <definedName function="false" hidden="false" localSheetId="1" name="Kder_SR" vbProcedure="false">'single output'!#ref!</definedName>
    <definedName function="false" hidden="false" localSheetId="1" name="KTZ" vbProcedure="false">'single output'!#ref!</definedName>
    <definedName function="false" hidden="false" localSheetId="1" name="kZmax" vbProcedure="false">'[1]hide calculate'!#ref!</definedName>
    <definedName function="false" hidden="false" localSheetId="1" name="LQs" vbProcedure="false">'single output'!#ref!</definedName>
    <definedName function="false" hidden="false" localSheetId="1" name="NA_act" vbProcedure="false">'[1]main calculation'!#ref!</definedName>
    <definedName function="false" hidden="false" localSheetId="1" name="NPS_actual" vbProcedure="false">'[1]main calculation'!#ref!</definedName>
    <definedName function="false" hidden="false" localSheetId="1" name="NPS_recommended" vbProcedure="false">'[1]main calculation'!#ref!</definedName>
    <definedName function="false" hidden="false" localSheetId="1" name="OPP" vbProcedure="false">'single output'!#ref!</definedName>
    <definedName function="false" hidden="false" localSheetId="1" name="OVP" vbProcedure="false">'single output'!#ref!</definedName>
    <definedName function="false" hidden="false" localSheetId="1" name="PERCENT_VPP_MAX" vbProcedure="false">'Single Output'!$C$20</definedName>
    <definedName function="false" hidden="false" localSheetId="1" name="PERCENT_VPP_MAX_VDD" vbProcedure="false">'Single Output'!$C$20</definedName>
    <definedName function="false" hidden="false" localSheetId="1" name="PERCENT_VPP_MAX_VEE" vbProcedure="false">'single output'!#ref!</definedName>
    <definedName function="false" hidden="false" localSheetId="1" name="Po" vbProcedure="false">'Single Output'!$C$23</definedName>
    <definedName function="false" hidden="false" localSheetId="1" name="PO_FL" vbProcedure="false">'single output'!#ref!</definedName>
    <definedName function="false" hidden="false" localSheetId="1" name="PRLIM" vbProcedure="false">'single output'!#ref!</definedName>
    <definedName function="false" hidden="false" localSheetId="1" name="P_MAX" vbProcedure="false">'single output'!#ref!</definedName>
    <definedName function="false" hidden="false" localSheetId="1" name="Qgtot" vbProcedure="false">'Single Output'!$C$14</definedName>
    <definedName function="false" hidden="false" localSheetId="1" name="RBLEED_rec" vbProcedure="false">'[1]main calculation'!#ref!</definedName>
    <definedName function="false" hidden="false" localSheetId="1" name="RCO" vbProcedure="false">'single output'!#ref!</definedName>
    <definedName function="false" hidden="false" localSheetId="1" name="RDSon_QH" vbProcedure="false">'single output'!#ref!</definedName>
    <definedName function="false" hidden="false" localSheetId="1" name="RDSon_QL" vbProcedure="false">'single output'!#ref!</definedName>
    <definedName function="false" hidden="false" localSheetId="1" name="RLIM" vbProcedure="false">'single output'!#ref!</definedName>
    <definedName function="false" hidden="false" localSheetId="1" name="RLIM_DN" vbProcedure="false">'single output'!#ref!</definedName>
    <definedName function="false" hidden="false" localSheetId="1" name="RLIM_MAX" vbProcedure="false">'single output'!#ref!</definedName>
    <definedName function="false" hidden="false" localSheetId="1" name="RLIM_UP" vbProcedure="false">'single output'!#ref!</definedName>
    <definedName function="false" hidden="false" localSheetId="1" name="R_2" vbProcedure="false">'Single Output'!$C$19</definedName>
    <definedName function="false" hidden="false" localSheetId="1" name="R_4" vbProcedure="false">'single output'!#ref!</definedName>
    <definedName function="false" hidden="false" localSheetId="1" name="SET" vbProcedure="false">'single output'!#ref!</definedName>
    <definedName function="false" hidden="false" localSheetId="1" name="SETPIN" vbProcedure="false">'single output'!#ref!</definedName>
    <definedName function="false" hidden="false" localSheetId="1" name="STEP_DUTY" vbProcedure="false">#REF!</definedName>
    <definedName function="false" hidden="false" localSheetId="1" name="TD_HDr" vbProcedure="false">'single output'!#ref!</definedName>
    <definedName function="false" hidden="false" localSheetId="1" name="TD_LDr" vbProcedure="false">'single output'!#ref!</definedName>
    <definedName function="false" hidden="false" localSheetId="1" name="tres" vbProcedure="false">'[1]hide calculate'!#ref!</definedName>
    <definedName function="false" hidden="false" localSheetId="1" name="tSW" vbProcedure="false">'[1]hide calculate'!#ref!</definedName>
    <definedName function="false" hidden="false" localSheetId="1" name="tSWmax" vbProcedure="false">'[1]hide calculate'!#ref!</definedName>
    <definedName function="false" hidden="false" localSheetId="1" name="tSW_off" vbProcedure="false">'[1]hide calculate'!#ref!</definedName>
    <definedName function="false" hidden="false" localSheetId="1" name="tSW_on" vbProcedure="false">'[1]hide calculate'!#ref!</definedName>
    <definedName function="false" hidden="false" localSheetId="1" name="VBULKmin_tgt" vbProcedure="false">'single output'!#ref!</definedName>
    <definedName function="false" hidden="false" localSheetId="1" name="VCE_sat_opto" vbProcedure="false">'single output'!#ref!</definedName>
    <definedName function="false" hidden="false" localSheetId="1" name="Vcin_rated" vbProcedure="false">'single output'!#ref!</definedName>
    <definedName function="false" hidden="false" localSheetId="1" name="VDD_COM" vbProcedure="false">'Single Output'!$C$13</definedName>
    <definedName function="false" hidden="false" localSheetId="1" name="VDD_VEE" vbProcedure="false">'single output'!#ref!</definedName>
    <definedName function="false" hidden="false" localSheetId="1" name="VDS_actual" vbProcedure="false">'single output'!#ref!</definedName>
    <definedName function="false" hidden="false" localSheetId="1" name="VDz" vbProcedure="false">'single output'!#ref!</definedName>
    <definedName function="false" hidden="false" localSheetId="1" name="VD_LED" vbProcedure="false">'single output'!#ref!</definedName>
    <definedName function="false" hidden="false" localSheetId="1" name="VD_LED_off" vbProcedure="false">'single output'!#ref!</definedName>
    <definedName function="false" hidden="false" localSheetId="1" name="Vf_BootD" vbProcedure="false">'single output'!#ref!</definedName>
    <definedName function="false" hidden="false" localSheetId="1" name="Vf_Daux" vbProcedure="false">'single output'!#ref!</definedName>
    <definedName function="false" hidden="false" localSheetId="1" name="Vf_SR" vbProcedure="false">'single output'!#ref!</definedName>
    <definedName function="false" hidden="false" localSheetId="1" name="Vgs_Qs" vbProcedure="false">'single output'!#ref!</definedName>
    <definedName function="false" hidden="false" localSheetId="1" name="VINPUT_Brownin" vbProcedure="false">'single output'!#ref!</definedName>
    <definedName function="false" hidden="false" localSheetId="1" name="VINPUT_Brownout" vbProcedure="false">'single output'!#ref!</definedName>
    <definedName function="false" hidden="false" localSheetId="1" name="VINPUT_BUR" vbProcedure="false">'single output'!#ref!</definedName>
    <definedName function="false" hidden="false" localSheetId="1" name="VINPUT_max" vbProcedure="false">'single output'!#ref!</definedName>
    <definedName function="false" hidden="false" localSheetId="1" name="VINPUT_nom" vbProcedure="false">'single output'!#ref!</definedName>
    <definedName function="false" hidden="false" localSheetId="1" name="VIN_LOW" vbProcedure="false">'single output'!#ref!</definedName>
    <definedName function="false" hidden="false" localSheetId="1" name="Vin_type" vbProcedure="false">'single output'!#ref!</definedName>
    <definedName function="false" hidden="false" localSheetId="1" name="VOUT" vbProcedure="false">'single output'!#ref!</definedName>
    <definedName function="false" hidden="false" localSheetId="1" name="Vo_drop" vbProcedure="false">'single output'!#ref!</definedName>
    <definedName function="false" hidden="false" localSheetId="1" name="VPP_MAX" vbProcedure="false">'single output'!#ref!</definedName>
    <definedName function="false" hidden="false" localSheetId="1" name="Vref_431" vbProcedure="false">'single output'!#ref!</definedName>
    <definedName function="false" hidden="false" localSheetId="1" name="VSR_actual" vbProcedure="false">'single output'!#ref!</definedName>
    <definedName function="false" hidden="false" localSheetId="1" name="Vth_Qs" vbProcedure="false">'single output'!#ref!</definedName>
    <definedName function="false" hidden="false" localSheetId="1" name="Vxh" vbProcedure="false">'single output'!#ref!</definedName>
    <definedName function="false" hidden="false" localSheetId="1" name="Vxl" vbProcedure="false">'single output'!#ref!</definedName>
    <definedName function="false" hidden="false" localSheetId="1" name="Vx_SR" vbProcedure="false">'single output'!#ref!</definedName>
    <definedName function="false" hidden="false" localSheetId="1" name="η_min" vbProcedure="false">'single output'!#ref!</definedName>
    <definedName function="false" hidden="false" localSheetId="2" name="BUR" vbProcedure="false">'vin uvlo prog. &amp; startup delay'!#ref!</definedName>
    <definedName function="false" hidden="false" localSheetId="2" name="CBootD_T" vbProcedure="false">'vin uvlo prog. &amp; startup delay'!#ref!</definedName>
    <definedName function="false" hidden="false" localSheetId="2" name="CBULK" vbProcedure="false">'vin uvlo prog. &amp; startup delay'!#ref!</definedName>
    <definedName function="false" hidden="false" localSheetId="2" name="CBULK_act" vbProcedure="false">'vin uvlo prog. &amp; startup delay'!#ref!</definedName>
    <definedName function="false" hidden="false" localSheetId="2" name="CBULK_rec" vbProcedure="false">'vin uvlo prog. &amp; startup delay'!#ref!</definedName>
    <definedName function="false" hidden="false" localSheetId="2" name="CDaux_H" vbProcedure="false">'vin uvlo prog. &amp; startup delay'!#ref!</definedName>
    <definedName function="false" hidden="false" localSheetId="2" name="CDaux_T" vbProcedure="false">'vin uvlo prog. &amp; startup delay'!#ref!</definedName>
    <definedName function="false" hidden="false" localSheetId="2" name="CDz" vbProcedure="false">'vin uvlo prog. &amp; startup delay'!#ref!</definedName>
    <definedName function="false" hidden="false" localSheetId="2" name="Ciss_Qs" vbProcedure="false">'vin uvlo prog. &amp; startup delay'!#ref!</definedName>
    <definedName function="false" hidden="false" localSheetId="2" name="COM_VEE" vbProcedure="false">'vin uvlo prog. &amp; startup delay'!#ref!</definedName>
    <definedName function="false" hidden="false" localSheetId="2" name="COSS_QH_bg" vbProcedure="false">'vin uvlo prog. &amp; startup delay'!#ref!</definedName>
    <definedName function="false" hidden="false" localSheetId="2" name="COSS_QH_sm" vbProcedure="false">'vin uvlo prog. &amp; startup delay'!#ref!</definedName>
    <definedName function="false" hidden="false" localSheetId="2" name="Coss_QH_T" vbProcedure="false">'vin uvlo prog. &amp; startup delay'!#ref!</definedName>
    <definedName function="false" hidden="false" localSheetId="2" name="COSS_QL_bg" vbProcedure="false">'vin uvlo prog. &amp; startup delay'!#ref!</definedName>
    <definedName function="false" hidden="false" localSheetId="2" name="COSS_QL_sm" vbProcedure="false">'vin uvlo prog. &amp; startup delay'!#ref!</definedName>
    <definedName function="false" hidden="false" localSheetId="2" name="COSS_Qs" vbProcedure="false">'vin uvlo prog. &amp; startup delay'!#ref!</definedName>
    <definedName function="false" hidden="false" localSheetId="2" name="Coss_SR_bg" vbProcedure="false">'vin uvlo prog. &amp; startup delay'!#ref!</definedName>
    <definedName function="false" hidden="false" localSheetId="2" name="COSS_SR_H" vbProcedure="false">'vin uvlo prog. &amp; startup delay'!#ref!</definedName>
    <definedName function="false" hidden="false" localSheetId="2" name="Coss_SR_sm" vbProcedure="false">'vin uvlo prog. &amp; startup delay'!#ref!</definedName>
    <definedName function="false" hidden="false" localSheetId="2" name="Coss_SR_T" vbProcedure="false">'vin uvlo prog. &amp; startup delay'!#ref!</definedName>
    <definedName function="false" hidden="false" localSheetId="2" name="COUT" vbProcedure="false">'vin uvlo prog. &amp; startup delay'!#ref!</definedName>
    <definedName function="false" hidden="false" localSheetId="2" name="COUT2" vbProcedure="false">'vin uvlo prog. &amp; startup delay'!#ref!</definedName>
    <definedName function="false" hidden="false" localSheetId="2" name="COUT2_MIN" vbProcedure="false">'vin uvlo prog. &amp; startup delay'!#ref!</definedName>
    <definedName function="false" hidden="false" localSheetId="2" name="COUT3" vbProcedure="false">'vin uvlo prog. &amp; startup delay'!#ref!</definedName>
    <definedName function="false" hidden="false" localSheetId="2" name="COUT3_MIN" vbProcedure="false">'vin uvlo prog. &amp; startup delay'!#ref!</definedName>
    <definedName function="false" hidden="false" localSheetId="2" name="COUT_act" vbProcedure="false">'vin uvlo prog. &amp; startup delay'!#ref!</definedName>
    <definedName function="false" hidden="false" localSheetId="2" name="COUT_rec" vbProcedure="false">'vin uvlo prog. &amp; startup delay'!#ref!</definedName>
    <definedName function="false" hidden="false" localSheetId="2" name="CTRmax" vbProcedure="false">'vin uvlo prog. &amp; startup delay'!#ref!</definedName>
    <definedName function="false" hidden="false" localSheetId="2" name="CTRmin" vbProcedure="false">'vin uvlo prog. &amp; startup delay'!#ref!</definedName>
    <definedName function="false" hidden="false" localSheetId="2" name="dCOUT2" vbProcedure="false">'vin uvlo prog. &amp; startup delay'!#ref!</definedName>
    <definedName function="false" hidden="false" localSheetId="2" name="dCOUT2_NEG" vbProcedure="false">'vin uvlo prog. &amp; startup delay'!#ref!</definedName>
    <definedName function="false" hidden="false" localSheetId="2" name="dCOUT2_POS" vbProcedure="false">'vin uvlo prog. &amp; startup delay'!#ref!</definedName>
    <definedName function="false" hidden="false" localSheetId="2" name="dCOUT3" vbProcedure="false">'vin uvlo prog. &amp; startup delay'!#ref!</definedName>
    <definedName function="false" hidden="false" localSheetId="2" name="dCOUT3_NEG" vbProcedure="false">'vin uvlo prog. &amp; startup delay'!#ref!</definedName>
    <definedName function="false" hidden="false" localSheetId="2" name="dCOUT3_POS" vbProcedure="false">'vin uvlo prog. &amp; startup delay'!#ref!</definedName>
    <definedName function="false" hidden="false" localSheetId="2" name="fBUR_standyby" vbProcedure="false">'vin uvlo prog. &amp; startup delay'!#ref!</definedName>
    <definedName function="false" hidden="false" localSheetId="2" name="Fcr_min" vbProcedure="false">'vin uvlo prog. &amp; startup delay'!#ref!</definedName>
    <definedName function="false" hidden="false" localSheetId="2" name="fLINE_min" vbProcedure="false">'vin uvlo prog. &amp; startup delay'!#ref!</definedName>
    <definedName function="false" hidden="false" localSheetId="2" name="fp_opto" vbProcedure="false">'vin uvlo prog. &amp; startup delay'!#ref!</definedName>
    <definedName function="false" hidden="false" localSheetId="2" name="fsw" vbProcedure="false">'vin uvlo prog. &amp; startup delay'!#ref!</definedName>
    <definedName function="false" hidden="false" localSheetId="2" name="fSWmin" vbProcedure="false">'vin uvlo prog. &amp; startup delay'!#ref!</definedName>
    <definedName function="false" hidden="false" localSheetId="2" name="IDaux_max" vbProcedure="false">'vin uvlo prog. &amp; startup delay'!#ref!</definedName>
    <definedName function="false" hidden="false" localSheetId="2" name="ID_SR_max" vbProcedure="false">'vin uvlo prog. &amp; startup delay'!#ref!</definedName>
    <definedName function="false" hidden="false" localSheetId="2" name="IKA_min" vbProcedure="false">'vin uvlo prog. &amp; startup delay'!#ref!</definedName>
    <definedName function="false" hidden="false" localSheetId="2" name="ILIM_DN" vbProcedure="false">'vin uvlo prog. &amp; startup delay'!#ref!</definedName>
    <definedName function="false" hidden="false" localSheetId="2" name="ILIM_MAX" vbProcedure="false">'vin uvlo prog. &amp; startup delay'!#ref!</definedName>
    <definedName function="false" hidden="false" localSheetId="2" name="ILIM_UP" vbProcedure="false">'vin uvlo prog. &amp; startup delay'!#ref!</definedName>
    <definedName function="false" hidden="false" localSheetId="2" name="ILIM_UP_TOT" vbProcedure="false">'vin uvlo prog. &amp; startup delay'!#ref!</definedName>
    <definedName function="false" hidden="false" localSheetId="2" name="IOUT" vbProcedure="false">'vin uvlo prog. &amp; startup delay'!#ref!</definedName>
    <definedName function="false" hidden="false" localSheetId="2" name="IQ" vbProcedure="false">#REF!</definedName>
    <definedName function="false" hidden="false" localSheetId="2" name="IQH_max" vbProcedure="false">'vin uvlo prog. &amp; startup delay'!#ref!</definedName>
    <definedName function="false" hidden="false" localSheetId="2" name="IQL_max" vbProcedure="false">'vin uvlo prog. &amp; startup delay'!#ref!</definedName>
    <definedName function="false" hidden="false" localSheetId="2" name="IQ_DRIVER" vbProcedure="false">#REF!</definedName>
    <definedName function="false" hidden="false" localSheetId="2" name="IQ_DRIVER_VDD" vbProcedure="false">'vin uvlo prog. &amp; startup delay'!#ref!</definedName>
    <definedName function="false" hidden="false" localSheetId="2" name="IQ_DRIVER_VDDS" vbProcedure="false">#REF!</definedName>
    <definedName function="false" hidden="false" localSheetId="2" name="IQ_DRIVER_VEE" vbProcedure="false">'vin uvlo prog. &amp; startup delay'!#ref!</definedName>
    <definedName function="false" hidden="false" localSheetId="2" name="IQ_OTHER_VDD" vbProcedure="false">'vin uvlo prog. &amp; startup delay'!#ref!</definedName>
    <definedName function="false" hidden="false" localSheetId="2" name="IQ_OTHER_VDDS" vbProcedure="false">#REF!</definedName>
    <definedName function="false" hidden="false" localSheetId="2" name="IQ_OTHER_VEE" vbProcedure="false">'vin uvlo prog. &amp; startup delay'!#ref!</definedName>
    <definedName function="false" hidden="false" localSheetId="2" name="IQ_VDD" vbProcedure="false">'vin uvlo prog. &amp; startup delay'!#ref!</definedName>
    <definedName function="false" hidden="false" localSheetId="2" name="IQ_VDD_COM" vbProcedure="false">'vin uvlo prog. &amp; startup delay'!#ref!</definedName>
    <definedName function="false" hidden="false" localSheetId="2" name="IQ_VEE" vbProcedure="false">'vin uvlo prog. &amp; startup delay'!#ref!</definedName>
    <definedName function="false" hidden="false" localSheetId="2" name="Iref_431" vbProcedure="false">'vin uvlo prog. &amp; startup delay'!#ref!</definedName>
    <definedName function="false" hidden="false" localSheetId="2" name="Iref_431_max" vbProcedure="false">'vin uvlo prog. &amp; startup delay'!#ref!</definedName>
    <definedName function="false" hidden="false" localSheetId="2" name="IRLIM_CAP" vbProcedure="false">'vin uvlo prog. &amp; startup delay'!#ref!</definedName>
    <definedName function="false" hidden="false" localSheetId="2" name="IVCC_qcc" vbProcedure="false">'vin uvlo prog. &amp; startup delay'!#ref!</definedName>
    <definedName function="false" hidden="false" localSheetId="2" name="I_COM_VEE" vbProcedure="false">'vin uvlo prog. &amp; startup delay'!#ref!</definedName>
    <definedName function="false" hidden="false" localSheetId="2" name="I_MAX_POWER" vbProcedure="false">'vin uvlo prog. &amp; startup delay'!#ref!</definedName>
    <definedName function="false" hidden="false" localSheetId="2" name="I_STEP" vbProcedure="false">#REF!</definedName>
    <definedName function="false" hidden="false" localSheetId="2" name="I_TOTAL_VDDS" vbProcedure="false">#REF!</definedName>
    <definedName function="false" hidden="false" localSheetId="2" name="I_VDD_COM" vbProcedure="false">'vin uvlo prog. &amp; startup delay'!#ref!</definedName>
    <definedName function="false" hidden="false" localSheetId="2" name="KCTR_Temp" vbProcedure="false">'vin uvlo prog. &amp; startup delay'!#ref!</definedName>
    <definedName function="false" hidden="false" localSheetId="2" name="Kder" vbProcedure="false">'vin uvlo prog. &amp; startup delay'!#ref!</definedName>
    <definedName function="false" hidden="false" localSheetId="2" name="Kder_SR" vbProcedure="false">'vin uvlo prog. &amp; startup delay'!#ref!</definedName>
    <definedName function="false" hidden="false" localSheetId="2" name="KTZ" vbProcedure="false">'vin uvlo prog. &amp; startup delay'!#ref!</definedName>
    <definedName function="false" hidden="false" localSheetId="2" name="kZmax" vbProcedure="false">'[1]hide calculate'!#ref!</definedName>
    <definedName function="false" hidden="false" localSheetId="2" name="LQs" vbProcedure="false">'vin uvlo prog. &amp; startup delay'!#ref!</definedName>
    <definedName function="false" hidden="false" localSheetId="2" name="NA_act" vbProcedure="false">'[1]main calculation'!#ref!</definedName>
    <definedName function="false" hidden="false" localSheetId="2" name="NPS_actual" vbProcedure="false">'[1]main calculation'!#ref!</definedName>
    <definedName function="false" hidden="false" localSheetId="2" name="NPS_recommended" vbProcedure="false">'[1]main calculation'!#ref!</definedName>
    <definedName function="false" hidden="false" localSheetId="2" name="OPP" vbProcedure="false">'vin uvlo prog. &amp; startup delay'!#ref!</definedName>
    <definedName function="false" hidden="false" localSheetId="2" name="OVP" vbProcedure="false">'vin uvlo prog. &amp; startup delay'!#ref!</definedName>
    <definedName function="false" hidden="false" localSheetId="2" name="PERCENT_VPP_MAX" vbProcedure="false">'vin uvlo prog. &amp; startup delay'!#ref!</definedName>
    <definedName function="false" hidden="false" localSheetId="2" name="PERCENT_VPP_MAX_VDD" vbProcedure="false">'vin uvlo prog. &amp; startup delay'!#ref!</definedName>
    <definedName function="false" hidden="false" localSheetId="2" name="PERCENT_VPP_MAX_VEE" vbProcedure="false">'vin uvlo prog. &amp; startup delay'!#ref!</definedName>
    <definedName function="false" hidden="false" localSheetId="2" name="Po" vbProcedure="false">'vin uvlo prog. &amp; startup delay'!#ref!</definedName>
    <definedName function="false" hidden="false" localSheetId="2" name="PO_FL" vbProcedure="false">'vin uvlo prog. &amp; startup delay'!#ref!</definedName>
    <definedName function="false" hidden="false" localSheetId="2" name="PRLIM" vbProcedure="false">'vin uvlo prog. &amp; startup delay'!#ref!</definedName>
    <definedName function="false" hidden="false" localSheetId="2" name="P_MAX" vbProcedure="false">'vin uvlo prog. &amp; startup delay'!#ref!</definedName>
    <definedName function="false" hidden="false" localSheetId="2" name="Qgtot" vbProcedure="false">'vin uvlo prog. &amp; startup delay'!#ref!</definedName>
    <definedName function="false" hidden="false" localSheetId="2" name="RBLEED_rec" vbProcedure="false">'[1]main calculation'!#ref!</definedName>
    <definedName function="false" hidden="false" localSheetId="2" name="RCO" vbProcedure="false">'vin uvlo prog. &amp; startup delay'!#ref!</definedName>
    <definedName function="false" hidden="false" localSheetId="2" name="RDSon_QH" vbProcedure="false">'vin uvlo prog. &amp; startup delay'!#ref!</definedName>
    <definedName function="false" hidden="false" localSheetId="2" name="RDSon_QL" vbProcedure="false">'vin uvlo prog. &amp; startup delay'!#ref!</definedName>
    <definedName function="false" hidden="false" localSheetId="2" name="RLIM" vbProcedure="false">'vin uvlo prog. &amp; startup delay'!#ref!</definedName>
    <definedName function="false" hidden="false" localSheetId="2" name="RLIM_DN" vbProcedure="false">'vin uvlo prog. &amp; startup delay'!#ref!</definedName>
    <definedName function="false" hidden="false" localSheetId="2" name="RLIM_MAX" vbProcedure="false">'vin uvlo prog. &amp; startup delay'!#ref!</definedName>
    <definedName function="false" hidden="false" localSheetId="2" name="RLIM_UP" vbProcedure="false">'vin uvlo prog. &amp; startup delay'!#ref!</definedName>
    <definedName function="false" hidden="false" localSheetId="2" name="R_2" vbProcedure="false">'vin uvlo prog. &amp; startup delay'!#ref!</definedName>
    <definedName function="false" hidden="false" localSheetId="2" name="R_4" vbProcedure="false">'vin uvlo prog. &amp; startup delay'!#ref!</definedName>
    <definedName function="false" hidden="false" localSheetId="2" name="SET" vbProcedure="false">'vin uvlo prog. &amp; startup delay'!#ref!</definedName>
    <definedName function="false" hidden="false" localSheetId="2" name="SETPIN" vbProcedure="false">'vin uvlo prog. &amp; startup delay'!#ref!</definedName>
    <definedName function="false" hidden="false" localSheetId="2" name="STEP_DUTY" vbProcedure="false">#REF!</definedName>
    <definedName function="false" hidden="false" localSheetId="2" name="TD_HDr" vbProcedure="false">'vin uvlo prog. &amp; startup delay'!#ref!</definedName>
    <definedName function="false" hidden="false" localSheetId="2" name="TD_LDr" vbProcedure="false">'vin uvlo prog. &amp; startup delay'!#ref!</definedName>
    <definedName function="false" hidden="false" localSheetId="2" name="tres" vbProcedure="false">'[1]hide calculate'!#ref!</definedName>
    <definedName function="false" hidden="false" localSheetId="2" name="tSW" vbProcedure="false">'[1]hide calculate'!#ref!</definedName>
    <definedName function="false" hidden="false" localSheetId="2" name="tSWmax" vbProcedure="false">'[1]hide calculate'!#ref!</definedName>
    <definedName function="false" hidden="false" localSheetId="2" name="tSW_off" vbProcedure="false">'[1]hide calculate'!#ref!</definedName>
    <definedName function="false" hidden="false" localSheetId="2" name="tSW_on" vbProcedure="false">'[1]hide calculate'!#ref!</definedName>
    <definedName function="false" hidden="false" localSheetId="2" name="VBULKmin_tgt" vbProcedure="false">'vin uvlo prog. &amp; startup delay'!#ref!</definedName>
    <definedName function="false" hidden="false" localSheetId="2" name="VCE_sat_opto" vbProcedure="false">'vin uvlo prog. &amp; startup delay'!#ref!</definedName>
    <definedName function="false" hidden="false" localSheetId="2" name="Vcin_rated" vbProcedure="false">'vin uvlo prog. &amp; startup delay'!#ref!</definedName>
    <definedName function="false" hidden="false" localSheetId="2" name="VDD_COM" vbProcedure="false">'vin uvlo prog. &amp; startup delay'!#ref!</definedName>
    <definedName function="false" hidden="false" localSheetId="2" name="VDD_VEE" vbProcedure="false">'vin uvlo prog. &amp; startup delay'!#ref!</definedName>
    <definedName function="false" hidden="false" localSheetId="2" name="VDS_actual" vbProcedure="false">'vin uvlo prog. &amp; startup delay'!#ref!</definedName>
    <definedName function="false" hidden="false" localSheetId="2" name="VDz" vbProcedure="false">'vin uvlo prog. &amp; startup delay'!#ref!</definedName>
    <definedName function="false" hidden="false" localSheetId="2" name="VD_LED" vbProcedure="false">'vin uvlo prog. &amp; startup delay'!#ref!</definedName>
    <definedName function="false" hidden="false" localSheetId="2" name="VD_LED_off" vbProcedure="false">'vin uvlo prog. &amp; startup delay'!#ref!</definedName>
    <definedName function="false" hidden="false" localSheetId="2" name="Vf_BootD" vbProcedure="false">'vin uvlo prog. &amp; startup delay'!#ref!</definedName>
    <definedName function="false" hidden="false" localSheetId="2" name="Vf_Daux" vbProcedure="false">'vin uvlo prog. &amp; startup delay'!#ref!</definedName>
    <definedName function="false" hidden="false" localSheetId="2" name="Vf_SR" vbProcedure="false">'vin uvlo prog. &amp; startup delay'!#ref!</definedName>
    <definedName function="false" hidden="false" localSheetId="2" name="Vgs_Qs" vbProcedure="false">'vin uvlo prog. &amp; startup delay'!#ref!</definedName>
    <definedName function="false" hidden="false" localSheetId="2" name="VINPUT_Brownin" vbProcedure="false">'vin uvlo prog. &amp; startup delay'!#ref!</definedName>
    <definedName function="false" hidden="false" localSheetId="2" name="VINPUT_Brownout" vbProcedure="false">'vin uvlo prog. &amp; startup delay'!#ref!</definedName>
    <definedName function="false" hidden="false" localSheetId="2" name="VINPUT_BUR" vbProcedure="false">'vin uvlo prog. &amp; startup delay'!#ref!</definedName>
    <definedName function="false" hidden="false" localSheetId="2" name="VINPUT_max" vbProcedure="false">'vin uvlo prog. &amp; startup delay'!#ref!</definedName>
    <definedName function="false" hidden="false" localSheetId="2" name="VINPUT_nom" vbProcedure="false">'vin uvlo prog. &amp; startup delay'!#ref!</definedName>
    <definedName function="false" hidden="false" localSheetId="2" name="VIN_LOW" vbProcedure="false">'vin uvlo prog. &amp; startup delay'!#ref!</definedName>
    <definedName function="false" hidden="false" localSheetId="2" name="Vin_type" vbProcedure="false">'vin uvlo prog. &amp; startup delay'!#ref!</definedName>
    <definedName function="false" hidden="false" localSheetId="2" name="VOUT" vbProcedure="false">'vin uvlo prog. &amp; startup delay'!#ref!</definedName>
    <definedName function="false" hidden="false" localSheetId="2" name="Vo_drop" vbProcedure="false">'vin uvlo prog. &amp; startup delay'!#ref!</definedName>
    <definedName function="false" hidden="false" localSheetId="2" name="VPP_MAX" vbProcedure="false">'vin uvlo prog. &amp; startup delay'!#ref!</definedName>
    <definedName function="false" hidden="false" localSheetId="2" name="Vref_431" vbProcedure="false">'vin uvlo prog. &amp; startup delay'!#ref!</definedName>
    <definedName function="false" hidden="false" localSheetId="2" name="VSR_actual" vbProcedure="false">'vin uvlo prog. &amp; startup delay'!#ref!</definedName>
    <definedName function="false" hidden="false" localSheetId="2" name="Vth_Qs" vbProcedure="false">'vin uvlo prog. &amp; startup delay'!#ref!</definedName>
    <definedName function="false" hidden="false" localSheetId="2" name="Vxh" vbProcedure="false">'vin uvlo prog. &amp; startup delay'!#ref!</definedName>
    <definedName function="false" hidden="false" localSheetId="2" name="Vxl" vbProcedure="false">'vin uvlo prog. &amp; startup delay'!#ref!</definedName>
    <definedName function="false" hidden="false" localSheetId="2" name="Vx_SR" vbProcedure="false">'vin uvlo prog. &amp; startup delay'!#ref!</definedName>
    <definedName function="false" hidden="false" localSheetId="2" name="η_min" vbProcedure="false">'vin uvlo prog. &amp; startup delay'!#ref!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<sst xmlns="http://schemas.openxmlformats.org/spreadsheetml/2006/main" count="344" uniqueCount="169">
  <si>
    <t xml:space="preserve">UCC34141x-Q1 DESIGN CALCULATOR TOOL: DUAL OUTPUT</t>
  </si>
  <si>
    <t xml:space="preserve">Disclaimer</t>
  </si>
  <si>
    <t xml:space="preserve">This product is designed as an aid for customers of Texas Instruments. No warranties, either expressed or implied, with respect to this software or its fitness for any particular purpose, are claimed by Texas Instruments or the author. The software is licensed solely on an "as is" basis. The entire risk as to its quality and performance is with the customer.</t>
  </si>
  <si>
    <t xml:space="preserve">UCC34141x-Q1 2W, 12V VIN, Isolated DC/DC Module</t>
  </si>
  <si>
    <t xml:space="preserve">CLEAR ALL USER INPUT CELLS BEFORE STARTING A NEW DESIGN</t>
  </si>
  <si>
    <t xml:space="preserve">VDD load current</t>
  </si>
  <si>
    <t xml:space="preserve">mA</t>
  </si>
  <si>
    <r>
      <rPr>
        <b val="true"/>
        <sz val="14"/>
        <color theme="1"/>
        <rFont val="Arial"/>
        <family val="2"/>
        <charset val="1"/>
      </rPr>
      <t xml:space="preserve">ALL </t>
    </r>
    <r>
      <rPr>
        <b val="true"/>
        <sz val="14"/>
        <color rgb="FF92D050"/>
        <rFont val="Arial"/>
        <family val="2"/>
        <charset val="1"/>
      </rPr>
      <t xml:space="preserve">GREEN</t>
    </r>
    <r>
      <rPr>
        <b val="true"/>
        <sz val="14"/>
        <color theme="1"/>
        <rFont val="Arial"/>
        <family val="2"/>
        <charset val="1"/>
      </rPr>
      <t xml:space="preserve"> CELLS ARE USER INPUTS; CELLS INTO </t>
    </r>
    <r>
      <rPr>
        <b val="true"/>
        <sz val="14"/>
        <color rgb="FFFF0000"/>
        <rFont val="Arial"/>
        <family val="2"/>
        <charset val="1"/>
      </rPr>
      <t xml:space="preserve">RED</t>
    </r>
    <r>
      <rPr>
        <b val="true"/>
        <sz val="14"/>
        <color theme="1"/>
        <rFont val="Arial"/>
        <family val="2"/>
        <charset val="1"/>
      </rPr>
      <t xml:space="preserve"> MEANS ERROR ON USER INPUTS</t>
    </r>
  </si>
  <si>
    <t xml:space="preserve">VEE load current </t>
  </si>
  <si>
    <r>
      <rPr>
        <sz val="11"/>
        <rFont val="Arial"/>
        <family val="2"/>
        <charset val="1"/>
      </rPr>
      <t xml:space="preserve">WHERE APPLICABLE, A RECOMMENDED VALUE IS GIVEN THAT WILL BE THE BEST CHOICE TO MEET THE GIVEN SPECIFICATION.  IT IS IN THE BEST INTEREST OF THE USER TO USE A VALUE AS CLOSE AS POSSIBLE TO THE RECOMMENDED</t>
    </r>
    <r>
      <rPr>
        <sz val="11"/>
        <color rgb="FFFF00FF"/>
        <rFont val="Arial"/>
        <family val="2"/>
        <charset val="1"/>
      </rPr>
      <t xml:space="preserve"> </t>
    </r>
    <r>
      <rPr>
        <sz val="11"/>
        <rFont val="Arial"/>
        <family val="2"/>
        <charset val="1"/>
      </rPr>
      <t xml:space="preserve"> VALUE.  FOR ACCURATE RESULTS, THE USER MUST ENTER THE ACTUAL VALUE USED IN THE APPROPRIATE CELL.</t>
    </r>
  </si>
  <si>
    <t xml:space="preserve">main power stage load current consdering 70% effciency of buck-boost</t>
  </si>
  <si>
    <t xml:space="preserve">DESIGN REQUIREMENTS</t>
  </si>
  <si>
    <t xml:space="preserve">Updated on Jan 2026 by Dongbin Hou to reflect the RFBVEE value change</t>
  </si>
  <si>
    <t xml:space="preserve">Differential voltage between VDD and COM, VDD - COM =</t>
  </si>
  <si>
    <t xml:space="preserve">V</t>
  </si>
  <si>
    <t xml:space="preserve">Recommeded operating range: 15V ~ 20V</t>
  </si>
  <si>
    <t xml:space="preserve">Differential voltage between COM and VEE, COM - VEE =</t>
  </si>
  <si>
    <t xml:space="preserve">Recommeded operating range: 2V ~ 8V</t>
  </si>
  <si>
    <r>
      <rPr>
        <sz val="11"/>
        <rFont val="Arial"/>
        <family val="2"/>
        <charset val="1"/>
      </rPr>
      <t xml:space="preserve">Total gate charge of power switch, Q</t>
    </r>
    <r>
      <rPr>
        <vertAlign val="subscript"/>
        <sz val="11"/>
        <rFont val="Arial"/>
        <family val="2"/>
        <charset val="1"/>
      </rPr>
      <t xml:space="preserve">gtot</t>
    </r>
    <r>
      <rPr>
        <sz val="11"/>
        <rFont val="Arial"/>
        <family val="2"/>
        <charset val="1"/>
      </rPr>
      <t xml:space="preserve"> =</t>
    </r>
  </si>
  <si>
    <t xml:space="preserve">µC</t>
  </si>
  <si>
    <r>
      <rPr>
        <sz val="11"/>
        <rFont val="Arial"/>
        <family val="2"/>
        <charset val="1"/>
      </rPr>
      <t xml:space="preserve">Switching frequency of gate driver load, f</t>
    </r>
    <r>
      <rPr>
        <vertAlign val="subscript"/>
        <sz val="11"/>
        <rFont val="Arial"/>
        <family val="2"/>
        <charset val="1"/>
      </rPr>
      <t xml:space="preserve">SW </t>
    </r>
    <r>
      <rPr>
        <sz val="11"/>
        <rFont val="Arial"/>
        <family val="2"/>
        <charset val="1"/>
      </rPr>
      <t xml:space="preserve">=</t>
    </r>
  </si>
  <si>
    <t xml:space="preserve">kHz</t>
  </si>
  <si>
    <r>
      <rPr>
        <sz val="11"/>
        <rFont val="Arial"/>
        <family val="2"/>
        <charset val="1"/>
      </rPr>
      <t xml:space="preserve">Quiescent current of the gate driver on VDD, I</t>
    </r>
    <r>
      <rPr>
        <vertAlign val="subscript"/>
        <sz val="11"/>
        <rFont val="Arial"/>
        <family val="2"/>
        <charset val="1"/>
      </rPr>
      <t xml:space="preserve">Q_DRIVER_VDD </t>
    </r>
    <r>
      <rPr>
        <sz val="11"/>
        <rFont val="Arial"/>
        <family val="2"/>
        <charset val="1"/>
      </rPr>
      <t xml:space="preserve">= I</t>
    </r>
    <r>
      <rPr>
        <vertAlign val="subscript"/>
        <sz val="11"/>
        <rFont val="Arial"/>
        <family val="2"/>
        <charset val="1"/>
      </rPr>
      <t xml:space="preserve">QVCC2 </t>
    </r>
    <r>
      <rPr>
        <sz val="11"/>
        <rFont val="Arial"/>
        <family val="2"/>
        <charset val="1"/>
      </rPr>
      <t xml:space="preserve">=</t>
    </r>
  </si>
  <si>
    <t xml:space="preserve">Includes the operating current of gate driver without switching</t>
  </si>
  <si>
    <r>
      <rPr>
        <sz val="11"/>
        <rFont val="Arial"/>
        <family val="2"/>
        <charset val="1"/>
      </rPr>
      <t xml:space="preserve">Quiescent current of other load on (VDD – COM) except gate driver, I</t>
    </r>
    <r>
      <rPr>
        <vertAlign val="subscript"/>
        <sz val="11"/>
        <rFont val="Arial"/>
        <family val="2"/>
        <charset val="1"/>
      </rPr>
      <t xml:space="preserve">Q_OTHER_VDD </t>
    </r>
    <r>
      <rPr>
        <sz val="11"/>
        <rFont val="Arial"/>
        <family val="2"/>
        <charset val="1"/>
      </rPr>
      <t xml:space="preserve">=</t>
    </r>
  </si>
  <si>
    <r>
      <rPr>
        <sz val="11"/>
        <rFont val="Arial"/>
        <family val="2"/>
        <charset val="1"/>
      </rPr>
      <t xml:space="preserve">Quiescent current of other load on VEE, I</t>
    </r>
    <r>
      <rPr>
        <vertAlign val="subscript"/>
        <sz val="11"/>
        <rFont val="Arial"/>
        <family val="2"/>
        <charset val="1"/>
      </rPr>
      <t xml:space="preserve">Q_DRIVER_VEE</t>
    </r>
    <r>
      <rPr>
        <sz val="11"/>
        <rFont val="Arial"/>
        <family val="2"/>
        <charset val="1"/>
      </rPr>
      <t xml:space="preserve"> =</t>
    </r>
  </si>
  <si>
    <r>
      <rPr>
        <sz val="11"/>
        <rFont val="Arial"/>
        <family val="2"/>
        <charset val="1"/>
      </rPr>
      <t xml:space="preserve">Total quiescent current from (VDD-COM), I</t>
    </r>
    <r>
      <rPr>
        <vertAlign val="subscript"/>
        <sz val="11"/>
        <rFont val="Arial"/>
        <family val="2"/>
        <charset val="1"/>
      </rPr>
      <t xml:space="preserve">Q_VDD-COM</t>
    </r>
    <r>
      <rPr>
        <sz val="11"/>
        <rFont val="Arial"/>
        <family val="2"/>
        <charset val="1"/>
      </rPr>
      <t xml:space="preserve"> =</t>
    </r>
  </si>
  <si>
    <r>
      <rPr>
        <sz val="11"/>
        <rFont val="Arial"/>
        <family val="2"/>
        <charset val="1"/>
      </rPr>
      <t xml:space="preserve">Bottom feedback resistor between FBVDD and COM, R</t>
    </r>
    <r>
      <rPr>
        <vertAlign val="subscript"/>
        <sz val="11"/>
        <rFont val="Arial"/>
        <family val="2"/>
        <charset val="1"/>
      </rPr>
      <t xml:space="preserve">FBVDD_BOT</t>
    </r>
    <r>
      <rPr>
        <sz val="11"/>
        <rFont val="Arial"/>
        <family val="2"/>
        <charset val="1"/>
      </rPr>
      <t xml:space="preserve"> =</t>
    </r>
  </si>
  <si>
    <t xml:space="preserve">kΩ</t>
  </si>
  <si>
    <r>
      <rPr>
        <sz val="11"/>
        <rFont val="Arial"/>
        <family val="2"/>
        <charset val="1"/>
      </rPr>
      <t xml:space="preserve">Desired AC gate-switching ripple percentage between VDD and COM, %V</t>
    </r>
    <r>
      <rPr>
        <vertAlign val="subscript"/>
        <sz val="11"/>
        <rFont val="Arial"/>
        <family val="2"/>
        <charset val="1"/>
      </rPr>
      <t xml:space="preserve">PP_MAX</t>
    </r>
    <r>
      <rPr>
        <sz val="11"/>
        <rFont val="Arial"/>
        <family val="2"/>
        <charset val="1"/>
      </rPr>
      <t xml:space="preserve"> =</t>
    </r>
  </si>
  <si>
    <t xml:space="preserve">%</t>
  </si>
  <si>
    <t xml:space="preserve">Respect to VDD-COM</t>
  </si>
  <si>
    <r>
      <rPr>
        <sz val="11"/>
        <rFont val="Arial"/>
        <family val="2"/>
        <charset val="1"/>
      </rPr>
      <t xml:space="preserve">Desired AC gate-switching ripple percentage between COM and VEE, %V</t>
    </r>
    <r>
      <rPr>
        <vertAlign val="subscript"/>
        <sz val="11"/>
        <rFont val="Arial"/>
        <family val="2"/>
        <charset val="1"/>
      </rPr>
      <t xml:space="preserve">PP_MAX</t>
    </r>
    <r>
      <rPr>
        <sz val="11"/>
        <rFont val="Arial"/>
        <family val="2"/>
        <charset val="1"/>
      </rPr>
      <t xml:space="preserve"> =</t>
    </r>
  </si>
  <si>
    <t xml:space="preserve">Respect to COM-VEE</t>
  </si>
  <si>
    <t xml:space="preserve">Output power contribution from gate positive voltage swing VDD-COM switching</t>
  </si>
  <si>
    <t xml:space="preserve">W</t>
  </si>
  <si>
    <t xml:space="preserve">Output power contribution from gate negative voltage swing VEE-COM switching</t>
  </si>
  <si>
    <t xml:space="preserve">Output current requirement of VEE regulator</t>
  </si>
  <si>
    <t xml:space="preserve">This value should be lower than the VEE-regulator output current capacity in the next row. Otherwise, an error will be highlighed in this cell.</t>
  </si>
  <si>
    <t xml:space="preserve">Output current capacity of VEE regulator</t>
  </si>
  <si>
    <t xml:space="preserve">Result derived from curve-fit to simulation data.</t>
  </si>
  <si>
    <t xml:space="preserve">VEE buck-boost covnerter output inductance</t>
  </si>
  <si>
    <t xml:space="preserve">uH</t>
  </si>
  <si>
    <t xml:space="preserve">VEE buck-boost covnerter switching frequency</t>
  </si>
  <si>
    <t xml:space="preserve">MHz</t>
  </si>
  <si>
    <t xml:space="preserve">Buck-boost inductor loss modeling</t>
  </si>
  <si>
    <t xml:space="preserve">DC resistance at 20C room temperature of the VEE buck-boost output inductor </t>
  </si>
  <si>
    <t xml:space="preserve">ohm</t>
  </si>
  <si>
    <t xml:space="preserve">Resistance in series with the inductance in an inductor equivalent circuit</t>
  </si>
  <si>
    <t xml:space="preserve">AC resistance at 20C room temperature of the VEE buck-boost output inductor </t>
  </si>
  <si>
    <t xml:space="preserve">BOM Components</t>
  </si>
  <si>
    <t xml:space="preserve">Value</t>
  </si>
  <si>
    <t xml:space="preserve">Unit</t>
  </si>
  <si>
    <t xml:space="preserve">Core loss resistance (Rp) of the VEE buck-boost output inductor </t>
  </si>
  <si>
    <t xml:space="preserve">Resistance in parallell with the inductance in an inductor equivalent circuit</t>
  </si>
  <si>
    <r>
      <rPr>
        <b val="true"/>
        <sz val="14"/>
        <color rgb="FF000000"/>
        <rFont val="Calibri"/>
        <family val="2"/>
        <charset val="1"/>
      </rPr>
      <t xml:space="preserve">C</t>
    </r>
    <r>
      <rPr>
        <b val="true"/>
        <vertAlign val="subscript"/>
        <sz val="14"/>
        <color rgb="FF000000"/>
        <rFont val="Calibri"/>
        <family val="2"/>
        <charset val="1"/>
      </rPr>
      <t xml:space="preserve">IN</t>
    </r>
  </si>
  <si>
    <t xml:space="preserve">10 // 0.1</t>
  </si>
  <si>
    <t xml:space="preserve">µF</t>
  </si>
  <si>
    <t xml:space="preserve">Operating temperature of the VEE buck-boost output inductor </t>
  </si>
  <si>
    <t xml:space="preserve">deg C</t>
  </si>
  <si>
    <t xml:space="preserve">Based on ambient temperature and self heating of the inductor</t>
  </si>
  <si>
    <r>
      <rPr>
        <b val="true"/>
        <sz val="14"/>
        <color rgb="FF000000"/>
        <rFont val="Calibri"/>
        <family val="2"/>
        <charset val="1"/>
      </rPr>
      <t xml:space="preserve">C</t>
    </r>
    <r>
      <rPr>
        <b val="true"/>
        <vertAlign val="subscript"/>
        <sz val="14"/>
        <color rgb="FF000000"/>
        <rFont val="Calibri"/>
        <family val="2"/>
        <charset val="1"/>
      </rPr>
      <t xml:space="preserve">VDD</t>
    </r>
  </si>
  <si>
    <t xml:space="preserve">DC resistance at operating temperature of the VEE buck-boost output inductor </t>
  </si>
  <si>
    <t xml:space="preserve">Calculated with the temperature coefficient of copper</t>
  </si>
  <si>
    <r>
      <rPr>
        <b val="true"/>
        <sz val="14"/>
        <color rgb="FF000000"/>
        <rFont val="Calibri"/>
        <family val="2"/>
        <charset val="1"/>
      </rPr>
      <t xml:space="preserve">C</t>
    </r>
    <r>
      <rPr>
        <b val="true"/>
        <vertAlign val="subscript"/>
        <sz val="14"/>
        <color rgb="FF000000"/>
        <rFont val="Calibri"/>
        <family val="2"/>
        <charset val="1"/>
      </rPr>
      <t xml:space="preserve">VDD_GD</t>
    </r>
  </si>
  <si>
    <t xml:space="preserve">AC resistance at operating temperature of the VEE buck-boost output inductor </t>
  </si>
  <si>
    <r>
      <rPr>
        <b val="true"/>
        <sz val="14"/>
        <color rgb="FF000000"/>
        <rFont val="Calibri"/>
        <family val="2"/>
        <charset val="1"/>
      </rPr>
      <t xml:space="preserve">C</t>
    </r>
    <r>
      <rPr>
        <b val="true"/>
        <vertAlign val="subscript"/>
        <sz val="14"/>
        <color rgb="FF000000"/>
        <rFont val="Calibri"/>
        <family val="2"/>
        <charset val="1"/>
      </rPr>
      <t xml:space="preserve">VEE</t>
    </r>
  </si>
  <si>
    <t xml:space="preserve">DC winding loss at operating temperature of the VEE buck-boost output inductor </t>
  </si>
  <si>
    <t xml:space="preserve">mW</t>
  </si>
  <si>
    <r>
      <rPr>
        <b val="true"/>
        <sz val="14"/>
        <color rgb="FF000000"/>
        <rFont val="Calibri"/>
        <family val="2"/>
        <charset val="1"/>
      </rPr>
      <t xml:space="preserve">C</t>
    </r>
    <r>
      <rPr>
        <b val="true"/>
        <vertAlign val="subscript"/>
        <sz val="14"/>
        <color rgb="FF000000"/>
        <rFont val="Calibri"/>
        <family val="2"/>
        <charset val="1"/>
      </rPr>
      <t xml:space="preserve">VEE_GD</t>
    </r>
  </si>
  <si>
    <t xml:space="preserve">AC winding loss at operating temperature of the VEE buck-boost output inductor </t>
  </si>
  <si>
    <r>
      <rPr>
        <b val="true"/>
        <sz val="14"/>
        <color rgb="FF000000"/>
        <rFont val="Calibri"/>
        <family val="2"/>
        <charset val="1"/>
      </rPr>
      <t xml:space="preserve">C</t>
    </r>
    <r>
      <rPr>
        <b val="true"/>
        <vertAlign val="subscript"/>
        <sz val="14"/>
        <color rgb="FF000000"/>
        <rFont val="Calibri"/>
        <family val="2"/>
        <charset val="1"/>
      </rPr>
      <t xml:space="preserve">FBVDD</t>
    </r>
  </si>
  <si>
    <t xml:space="preserve">pF</t>
  </si>
  <si>
    <t xml:space="preserve">Core loss of  the VEE buck-boost conveter output inductor </t>
  </si>
  <si>
    <r>
      <rPr>
        <b val="true"/>
        <sz val="14"/>
        <color rgb="FF000000"/>
        <rFont val="Calibri"/>
        <family val="2"/>
        <charset val="1"/>
      </rPr>
      <t xml:space="preserve">C</t>
    </r>
    <r>
      <rPr>
        <b val="true"/>
        <vertAlign val="subscript"/>
        <sz val="14"/>
        <color rgb="FF000000"/>
        <rFont val="Calibri"/>
        <family val="2"/>
        <charset val="1"/>
      </rPr>
      <t xml:space="preserve">FBVEE</t>
    </r>
  </si>
  <si>
    <t xml:space="preserve">Total loss of the VEE buck-boost conveter output inductor </t>
  </si>
  <si>
    <t xml:space="preserve">Summation of the DC winding loss, AC winding loss, and core loss.</t>
  </si>
  <si>
    <r>
      <rPr>
        <b val="true"/>
        <sz val="14"/>
        <color rgb="FF000000"/>
        <rFont val="Calibri"/>
        <family val="2"/>
        <charset val="1"/>
      </rPr>
      <t xml:space="preserve">C</t>
    </r>
    <r>
      <rPr>
        <b val="true"/>
        <vertAlign val="subscript"/>
        <sz val="14"/>
        <color rgb="FF000000"/>
        <rFont val="Calibri"/>
        <family val="2"/>
        <charset val="1"/>
      </rPr>
      <t xml:space="preserve">ENA</t>
    </r>
  </si>
  <si>
    <t xml:space="preserve">Output power contribution from gate driver switching, considering the VEE-regulator effciency</t>
  </si>
  <si>
    <r>
      <rPr>
        <b val="true"/>
        <sz val="14"/>
        <color rgb="FF000000"/>
        <rFont val="Calibri"/>
        <family val="2"/>
        <charset val="1"/>
      </rPr>
      <t xml:space="preserve">C</t>
    </r>
    <r>
      <rPr>
        <b val="true"/>
        <vertAlign val="subscript"/>
        <sz val="14"/>
        <color rgb="FF000000"/>
        <rFont val="Calibri"/>
        <family val="2"/>
        <charset val="1"/>
      </rPr>
      <t xml:space="preserve">PG</t>
    </r>
  </si>
  <si>
    <t xml:space="preserve">For PG Active-Low</t>
  </si>
  <si>
    <t xml:space="preserve">Output power contribution from gate driver quiescent current, considering the VEE-regulator effciency</t>
  </si>
  <si>
    <t xml:space="preserve">For PG Active-High</t>
  </si>
  <si>
    <r>
      <rPr>
        <sz val="11"/>
        <rFont val="Arial"/>
        <family val="2"/>
        <charset val="1"/>
      </rPr>
      <t xml:space="preserve">Total output power requirement, P</t>
    </r>
    <r>
      <rPr>
        <vertAlign val="subscript"/>
        <sz val="11"/>
        <rFont val="Arial"/>
        <family val="2"/>
        <charset val="1"/>
      </rPr>
      <t xml:space="preserve">O</t>
    </r>
    <r>
      <rPr>
        <sz val="11"/>
        <rFont val="Arial"/>
        <family val="2"/>
        <charset val="1"/>
      </rPr>
      <t xml:space="preserve"> =</t>
    </r>
  </si>
  <si>
    <t xml:space="preserve">&lt; Max. AVG power capability based on the SOA curves in the datasheet</t>
  </si>
  <si>
    <r>
      <rPr>
        <b val="true"/>
        <sz val="14"/>
        <color rgb="FF000000"/>
        <rFont val="Calibri"/>
        <family val="2"/>
        <charset val="1"/>
      </rPr>
      <t xml:space="preserve">L</t>
    </r>
    <r>
      <rPr>
        <b val="true"/>
        <vertAlign val="subscript"/>
        <sz val="14"/>
        <color rgb="FF000000"/>
        <rFont val="Calibri"/>
        <family val="2"/>
        <charset val="1"/>
      </rPr>
      <t xml:space="preserve">BB</t>
    </r>
  </si>
  <si>
    <t xml:space="preserve">µH</t>
  </si>
  <si>
    <r>
      <rPr>
        <b val="true"/>
        <sz val="14"/>
        <color rgb="FF000000"/>
        <rFont val="Calibri"/>
        <family val="2"/>
        <charset val="1"/>
      </rPr>
      <t xml:space="preserve">R</t>
    </r>
    <r>
      <rPr>
        <b val="true"/>
        <vertAlign val="subscript"/>
        <sz val="14"/>
        <color rgb="FF000000"/>
        <rFont val="Calibri"/>
        <family val="2"/>
        <charset val="1"/>
      </rPr>
      <t xml:space="preserve">FBVDD_TOP</t>
    </r>
  </si>
  <si>
    <t xml:space="preserve">RECOMMENDED COMPONENT VALUE FROM DESIGN REQUIREMENTS</t>
  </si>
  <si>
    <r>
      <rPr>
        <b val="true"/>
        <sz val="14"/>
        <color rgb="FF000000"/>
        <rFont val="Calibri"/>
        <family val="2"/>
        <charset val="1"/>
      </rPr>
      <t xml:space="preserve">R</t>
    </r>
    <r>
      <rPr>
        <b val="true"/>
        <vertAlign val="subscript"/>
        <sz val="14"/>
        <color rgb="FF000000"/>
        <rFont val="Calibri"/>
        <family val="2"/>
        <charset val="1"/>
      </rPr>
      <t xml:space="preserve">FBVDD_BOT</t>
    </r>
  </si>
  <si>
    <r>
      <rPr>
        <b val="true"/>
        <sz val="14"/>
        <color rgb="FF000000"/>
        <rFont val="Calibri"/>
        <family val="2"/>
        <charset val="1"/>
      </rPr>
      <t xml:space="preserve">R</t>
    </r>
    <r>
      <rPr>
        <b val="true"/>
        <vertAlign val="subscript"/>
        <sz val="14"/>
        <color rgb="FF000000"/>
        <rFont val="Calibri"/>
        <family val="2"/>
        <charset val="1"/>
      </rPr>
      <t xml:space="preserve">FBVEE</t>
    </r>
  </si>
  <si>
    <r>
      <rPr>
        <b val="true"/>
        <i val="true"/>
        <sz val="14"/>
        <rFont val="Arial"/>
        <family val="2"/>
        <charset val="1"/>
      </rPr>
      <t xml:space="preserve">Resistor Divider Design for V</t>
    </r>
    <r>
      <rPr>
        <b val="true"/>
        <i val="true"/>
        <vertAlign val="subscript"/>
        <sz val="14"/>
        <rFont val="Arial"/>
        <family val="2"/>
        <charset val="1"/>
      </rPr>
      <t xml:space="preserve">VDD-COM</t>
    </r>
    <r>
      <rPr>
        <b val="true"/>
        <i val="true"/>
        <sz val="14"/>
        <rFont val="Arial"/>
        <family val="2"/>
        <charset val="1"/>
      </rPr>
      <t xml:space="preserve"> </t>
    </r>
  </si>
  <si>
    <r>
      <rPr>
        <sz val="11"/>
        <rFont val="Arial"/>
        <family val="2"/>
        <charset val="1"/>
      </rPr>
      <t xml:space="preserve">Top feedback resistor between VDD and FBVDD, R</t>
    </r>
    <r>
      <rPr>
        <vertAlign val="subscript"/>
        <sz val="11"/>
        <rFont val="Arial"/>
        <family val="2"/>
        <charset val="1"/>
      </rPr>
      <t xml:space="preserve">FBVDD_TOP</t>
    </r>
    <r>
      <rPr>
        <sz val="11"/>
        <rFont val="Arial"/>
        <family val="2"/>
        <charset val="1"/>
      </rPr>
      <t xml:space="preserve"> =</t>
    </r>
  </si>
  <si>
    <r>
      <rPr>
        <sz val="11"/>
        <rFont val="Arial"/>
        <family val="2"/>
        <charset val="1"/>
      </rPr>
      <t xml:space="preserve">determined by: R</t>
    </r>
    <r>
      <rPr>
        <vertAlign val="subscript"/>
        <sz val="11"/>
        <rFont val="Arial"/>
        <family val="2"/>
        <charset val="1"/>
      </rPr>
      <t xml:space="preserve">FBVDD_BOT</t>
    </r>
    <r>
      <rPr>
        <sz val="11"/>
        <rFont val="Arial"/>
        <family val="2"/>
        <charset val="1"/>
      </rPr>
      <t xml:space="preserve">*[(VDD-COM)/2.5-1], where 2.5V is internal reference voltage</t>
    </r>
  </si>
  <si>
    <r>
      <rPr>
        <b val="true"/>
        <sz val="14"/>
        <color rgb="FF000000"/>
        <rFont val="Calibri"/>
        <family val="2"/>
        <charset val="1"/>
      </rPr>
      <t xml:space="preserve">R</t>
    </r>
    <r>
      <rPr>
        <b val="true"/>
        <vertAlign val="subscript"/>
        <sz val="14"/>
        <color rgb="FF000000"/>
        <rFont val="Calibri"/>
        <family val="2"/>
        <charset val="1"/>
      </rPr>
      <t xml:space="preserve">ENA</t>
    </r>
  </si>
  <si>
    <r>
      <rPr>
        <b val="true"/>
        <i val="true"/>
        <sz val="14"/>
        <rFont val="Arial"/>
        <family val="2"/>
        <charset val="1"/>
      </rPr>
      <t xml:space="preserve">Decoupling Capacitor Design Close to Output Load (C</t>
    </r>
    <r>
      <rPr>
        <b val="true"/>
        <i val="true"/>
        <vertAlign val="subscript"/>
        <sz val="14"/>
        <rFont val="Arial"/>
        <family val="2"/>
        <charset val="1"/>
      </rPr>
      <t xml:space="preserve">VDD_GD</t>
    </r>
    <r>
      <rPr>
        <b val="true"/>
        <i val="true"/>
        <sz val="14"/>
        <rFont val="Arial"/>
        <family val="2"/>
        <charset val="1"/>
      </rPr>
      <t xml:space="preserve">, C</t>
    </r>
    <r>
      <rPr>
        <b val="true"/>
        <i val="true"/>
        <vertAlign val="subscript"/>
        <sz val="14"/>
        <rFont val="Arial"/>
        <family val="2"/>
        <charset val="1"/>
      </rPr>
      <t xml:space="preserve">VEE_GD</t>
    </r>
    <r>
      <rPr>
        <b val="true"/>
        <i val="true"/>
        <sz val="14"/>
        <rFont val="Arial"/>
        <family val="2"/>
        <charset val="1"/>
      </rPr>
      <t xml:space="preserve">)</t>
    </r>
  </si>
  <si>
    <r>
      <rPr>
        <b val="true"/>
        <sz val="14"/>
        <color rgb="FF000000"/>
        <rFont val="Calibri"/>
        <family val="2"/>
        <charset val="1"/>
      </rPr>
      <t xml:space="preserve">R</t>
    </r>
    <r>
      <rPr>
        <b val="true"/>
        <vertAlign val="subscript"/>
        <sz val="14"/>
        <color rgb="FF000000"/>
        <rFont val="Calibri"/>
        <family val="2"/>
        <charset val="1"/>
      </rPr>
      <t xml:space="preserve">PG</t>
    </r>
  </si>
  <si>
    <r>
      <rPr>
        <sz val="11"/>
        <rFont val="Arial"/>
        <family val="2"/>
        <charset val="1"/>
      </rPr>
      <t xml:space="preserve">Recommended min. energy-storage capacitance between VDD and COM, at Gate Driver. C</t>
    </r>
    <r>
      <rPr>
        <vertAlign val="subscript"/>
        <sz val="11"/>
        <rFont val="Arial"/>
        <family val="2"/>
        <charset val="1"/>
      </rPr>
      <t xml:space="preserve">VDD_GD_min</t>
    </r>
    <r>
      <rPr>
        <sz val="11"/>
        <rFont val="Arial"/>
        <family val="2"/>
        <charset val="1"/>
      </rPr>
      <t xml:space="preserve"> = </t>
    </r>
  </si>
  <si>
    <r>
      <rPr>
        <sz val="11"/>
        <rFont val="Arial"/>
        <family val="2"/>
        <charset val="1"/>
      </rPr>
      <t xml:space="preserve">Selected C</t>
    </r>
    <r>
      <rPr>
        <vertAlign val="subscript"/>
        <sz val="11"/>
        <rFont val="Arial"/>
        <family val="2"/>
        <charset val="1"/>
      </rPr>
      <t xml:space="preserve">VDD_GD</t>
    </r>
    <r>
      <rPr>
        <sz val="11"/>
        <rFont val="Arial"/>
        <family val="2"/>
        <charset val="1"/>
      </rPr>
      <t xml:space="preserve"> value, C</t>
    </r>
    <r>
      <rPr>
        <vertAlign val="subscript"/>
        <sz val="11"/>
        <rFont val="Arial"/>
        <family val="2"/>
        <charset val="1"/>
      </rPr>
      <t xml:space="preserve">VDD_GD</t>
    </r>
    <r>
      <rPr>
        <sz val="11"/>
        <rFont val="Arial"/>
        <family val="2"/>
        <charset val="1"/>
      </rPr>
      <t xml:space="preserve"> =</t>
    </r>
  </si>
  <si>
    <r>
      <rPr>
        <sz val="11"/>
        <rFont val="Arial"/>
        <family val="2"/>
        <charset val="1"/>
      </rPr>
      <t xml:space="preserve">Choose closest standard value higher than or equal to C</t>
    </r>
    <r>
      <rPr>
        <vertAlign val="subscript"/>
        <sz val="11"/>
        <rFont val="Arial"/>
        <family val="2"/>
        <charset val="1"/>
      </rPr>
      <t xml:space="preserve">VDD_GD_min</t>
    </r>
  </si>
  <si>
    <r>
      <rPr>
        <sz val="11"/>
        <rFont val="Arial"/>
        <family val="2"/>
        <charset val="1"/>
      </rPr>
      <t xml:space="preserve">Recommended min. energy-storage capacitance between COM and VEE, at Gate Driver. C</t>
    </r>
    <r>
      <rPr>
        <vertAlign val="subscript"/>
        <sz val="11"/>
        <rFont val="Arial"/>
        <family val="2"/>
        <charset val="1"/>
      </rPr>
      <t xml:space="preserve">VEE_GD_min</t>
    </r>
    <r>
      <rPr>
        <sz val="11"/>
        <rFont val="Arial"/>
        <family val="2"/>
        <charset val="1"/>
      </rPr>
      <t xml:space="preserve"> = </t>
    </r>
  </si>
  <si>
    <r>
      <rPr>
        <sz val="11"/>
        <rFont val="Arial"/>
        <family val="2"/>
        <charset val="1"/>
      </rPr>
      <t xml:space="preserve">Selected C</t>
    </r>
    <r>
      <rPr>
        <vertAlign val="subscript"/>
        <sz val="11"/>
        <rFont val="Arial"/>
        <family val="2"/>
        <charset val="1"/>
      </rPr>
      <t xml:space="preserve">VEE_GD</t>
    </r>
    <r>
      <rPr>
        <sz val="11"/>
        <rFont val="Arial"/>
        <family val="2"/>
        <charset val="1"/>
      </rPr>
      <t xml:space="preserve"> value, C</t>
    </r>
    <r>
      <rPr>
        <vertAlign val="subscript"/>
        <sz val="11"/>
        <rFont val="Arial"/>
        <family val="2"/>
        <charset val="1"/>
      </rPr>
      <t xml:space="preserve">VEE_GD</t>
    </r>
    <r>
      <rPr>
        <sz val="11"/>
        <rFont val="Arial"/>
        <family val="2"/>
        <charset val="1"/>
      </rPr>
      <t xml:space="preserve"> =</t>
    </r>
  </si>
  <si>
    <r>
      <rPr>
        <sz val="11"/>
        <rFont val="Arial"/>
        <family val="2"/>
        <charset val="1"/>
      </rPr>
      <t xml:space="preserve">Choose closest standard value higher than or equal to C</t>
    </r>
    <r>
      <rPr>
        <vertAlign val="subscript"/>
        <sz val="11"/>
        <rFont val="Arial"/>
        <family val="2"/>
        <charset val="1"/>
      </rPr>
      <t xml:space="preserve">VEE_GD_min</t>
    </r>
  </si>
  <si>
    <r>
      <rPr>
        <sz val="11"/>
        <rFont val="Arial"/>
        <family val="2"/>
        <charset val="1"/>
      </rPr>
      <t xml:space="preserve">Maximum C</t>
    </r>
    <r>
      <rPr>
        <vertAlign val="subscript"/>
        <sz val="11"/>
        <rFont val="Arial"/>
        <family val="2"/>
        <charset val="1"/>
      </rPr>
      <t xml:space="preserve">VEE_GD</t>
    </r>
    <r>
      <rPr>
        <sz val="11"/>
        <rFont val="Arial"/>
        <family val="2"/>
        <charset val="1"/>
      </rPr>
      <t xml:space="preserve"> value without triggering VEE soft-start time-out</t>
    </r>
  </si>
  <si>
    <r>
      <rPr>
        <sz val="11"/>
        <rFont val="Arial"/>
        <family val="2"/>
        <charset val="1"/>
      </rPr>
      <t xml:space="preserve">The chozen C</t>
    </r>
    <r>
      <rPr>
        <vertAlign val="subscript"/>
        <sz val="11"/>
        <rFont val="Arial"/>
        <family val="2"/>
        <charset val="1"/>
      </rPr>
      <t xml:space="preserve">VEE_GD</t>
    </r>
    <r>
      <rPr>
        <sz val="11"/>
        <rFont val="Arial"/>
        <family val="2"/>
        <charset val="1"/>
      </rPr>
      <t xml:space="preserve"> needs to be lower than this value with &gt;10% margin.</t>
    </r>
  </si>
  <si>
    <r>
      <rPr>
        <b val="true"/>
        <i val="true"/>
        <sz val="14"/>
        <rFont val="Arial"/>
        <family val="2"/>
        <charset val="1"/>
      </rPr>
      <t xml:space="preserve">Resistor Selection for V</t>
    </r>
    <r>
      <rPr>
        <b val="true"/>
        <i val="true"/>
        <vertAlign val="subscript"/>
        <sz val="14"/>
        <rFont val="Arial"/>
        <family val="2"/>
        <charset val="1"/>
      </rPr>
      <t xml:space="preserve">COM-VEE</t>
    </r>
  </si>
  <si>
    <r>
      <rPr>
        <sz val="11"/>
        <rFont val="Arial"/>
        <family val="2"/>
        <charset val="1"/>
      </rPr>
      <t xml:space="preserve">Feedback resistor between VEE and FBVEE, R</t>
    </r>
    <r>
      <rPr>
        <vertAlign val="subscript"/>
        <sz val="11"/>
        <rFont val="Arial"/>
        <family val="2"/>
        <charset val="1"/>
      </rPr>
      <t xml:space="preserve">FBVEE</t>
    </r>
    <r>
      <rPr>
        <sz val="11"/>
        <rFont val="Arial"/>
        <family val="2"/>
        <charset val="1"/>
      </rPr>
      <t xml:space="preserve"> =</t>
    </r>
  </si>
  <si>
    <t xml:space="preserve">determined by: 45kΩ/4.5V*(COM-VEE+0.5V), where 45kΩ, 4.5V, and 0.5V are internal resistor &amp; reference voltage values.</t>
  </si>
  <si>
    <r>
      <rPr>
        <b val="true"/>
        <i val="true"/>
        <sz val="14"/>
        <rFont val="Arial"/>
        <family val="2"/>
        <charset val="1"/>
      </rPr>
      <t xml:space="preserve">Inductor Selection for L</t>
    </r>
    <r>
      <rPr>
        <b val="true"/>
        <i val="true"/>
        <vertAlign val="subscript"/>
        <sz val="14"/>
        <rFont val="Arial"/>
        <family val="2"/>
        <charset val="1"/>
      </rPr>
      <t xml:space="preserve">BB</t>
    </r>
  </si>
  <si>
    <r>
      <rPr>
        <sz val="11"/>
        <rFont val="Arial"/>
        <family val="2"/>
        <charset val="1"/>
      </rPr>
      <t xml:space="preserve">Output inductor for COM-VEE regulator, L</t>
    </r>
    <r>
      <rPr>
        <vertAlign val="subscript"/>
        <sz val="11"/>
        <rFont val="Arial"/>
        <family val="2"/>
        <charset val="1"/>
      </rPr>
      <t xml:space="preserve">BB</t>
    </r>
    <r>
      <rPr>
        <sz val="11"/>
        <rFont val="Arial"/>
        <family val="2"/>
        <charset val="1"/>
      </rPr>
      <t xml:space="preserve"> =</t>
    </r>
  </si>
  <si>
    <r>
      <rPr>
        <sz val="11"/>
        <rFont val="Arial"/>
        <family val="2"/>
        <charset val="1"/>
      </rPr>
      <t xml:space="preserve">Choose an indcutor with I</t>
    </r>
    <r>
      <rPr>
        <vertAlign val="subscript"/>
        <sz val="11"/>
        <rFont val="Arial"/>
        <family val="2"/>
        <charset val="1"/>
      </rPr>
      <t xml:space="preserve">sat</t>
    </r>
    <r>
      <rPr>
        <sz val="11"/>
        <rFont val="Arial"/>
        <family val="2"/>
        <charset val="1"/>
      </rPr>
      <t xml:space="preserve"> ≥ 350mA</t>
    </r>
  </si>
  <si>
    <r>
      <rPr>
        <sz val="11"/>
        <rFont val="Arial"/>
        <family val="2"/>
        <charset val="1"/>
      </rPr>
      <t xml:space="preserve">Saturation current limit of output inductor for COM-VEE regulator,  I</t>
    </r>
    <r>
      <rPr>
        <vertAlign val="subscript"/>
        <sz val="11"/>
        <rFont val="Arial"/>
        <family val="2"/>
        <charset val="1"/>
      </rPr>
      <t xml:space="preserve">sat</t>
    </r>
    <r>
      <rPr>
        <sz val="11"/>
        <rFont val="Arial"/>
        <family val="2"/>
        <charset val="1"/>
      </rPr>
      <t xml:space="preserve"> = </t>
    </r>
  </si>
  <si>
    <r>
      <rPr>
        <sz val="11"/>
        <rFont val="Arial"/>
        <family val="2"/>
        <charset val="1"/>
      </rPr>
      <t xml:space="preserve">Choose I</t>
    </r>
    <r>
      <rPr>
        <vertAlign val="subscript"/>
        <sz val="11"/>
        <rFont val="Arial"/>
        <family val="2"/>
        <charset val="1"/>
      </rPr>
      <t xml:space="preserve">sat</t>
    </r>
    <r>
      <rPr>
        <sz val="11"/>
        <rFont val="Arial"/>
        <family val="2"/>
        <charset val="1"/>
      </rPr>
      <t xml:space="preserve"> ≥ 350mA</t>
    </r>
  </si>
  <si>
    <t xml:space="preserve">OTHER RECOMMENDED COMPONENT VALUE</t>
  </si>
  <si>
    <r>
      <rPr>
        <sz val="11"/>
        <rFont val="Arial"/>
        <family val="2"/>
        <charset val="1"/>
      </rPr>
      <t xml:space="preserve">Decoupling capacitor between VIN and GNDP, C</t>
    </r>
    <r>
      <rPr>
        <vertAlign val="subscript"/>
        <sz val="11"/>
        <rFont val="Arial"/>
        <family val="2"/>
        <charset val="1"/>
      </rPr>
      <t xml:space="preserve">IN</t>
    </r>
    <r>
      <rPr>
        <sz val="11"/>
        <rFont val="Arial"/>
        <family val="2"/>
        <charset val="1"/>
      </rPr>
      <t xml:space="preserve"> =</t>
    </r>
  </si>
  <si>
    <t xml:space="preserve">Place close to UCC34141x-Q1. Recommend to choose 0402 package for the 0.1uF decoupling cap.</t>
  </si>
  <si>
    <r>
      <rPr>
        <sz val="11"/>
        <rFont val="Arial"/>
        <family val="2"/>
        <charset val="1"/>
      </rPr>
      <t xml:space="preserve">Decoupling capacitor between VDD and COM, C</t>
    </r>
    <r>
      <rPr>
        <vertAlign val="subscript"/>
        <sz val="11"/>
        <rFont val="Arial"/>
        <family val="2"/>
        <charset val="1"/>
      </rPr>
      <t xml:space="preserve">VDD</t>
    </r>
    <r>
      <rPr>
        <sz val="11"/>
        <rFont val="Arial"/>
        <family val="2"/>
        <charset val="1"/>
      </rPr>
      <t xml:space="preserve"> =</t>
    </r>
  </si>
  <si>
    <r>
      <rPr>
        <sz val="11"/>
        <rFont val="Arial"/>
        <family val="2"/>
        <charset val="1"/>
      </rPr>
      <t xml:space="preserve">Decoupling capacitor between COM and VEE, C</t>
    </r>
    <r>
      <rPr>
        <vertAlign val="subscript"/>
        <sz val="11"/>
        <rFont val="Arial"/>
        <family val="2"/>
        <charset val="1"/>
      </rPr>
      <t xml:space="preserve">VEE</t>
    </r>
    <r>
      <rPr>
        <sz val="11"/>
        <rFont val="Arial"/>
        <family val="2"/>
        <charset val="1"/>
      </rPr>
      <t xml:space="preserve"> =</t>
    </r>
  </si>
  <si>
    <t xml:space="preserve">Place close to UCC34141x-Q1. Recommend to choose a capacitor with SRF in 3MHz to 4MHz range, to provide a low-impedance path in a small loop for the BSW switching noise.</t>
  </si>
  <si>
    <r>
      <rPr>
        <sz val="11"/>
        <rFont val="Arial"/>
        <family val="2"/>
        <charset val="1"/>
      </rPr>
      <t xml:space="preserve">Filter capacitor between FBVDD and COMA, C</t>
    </r>
    <r>
      <rPr>
        <vertAlign val="subscript"/>
        <sz val="11"/>
        <rFont val="Arial"/>
        <family val="2"/>
        <charset val="1"/>
      </rPr>
      <t xml:space="preserve">FBVDD</t>
    </r>
    <r>
      <rPr>
        <sz val="11"/>
        <rFont val="Arial"/>
        <family val="2"/>
        <charset val="1"/>
      </rPr>
      <t xml:space="preserve"> =</t>
    </r>
  </si>
  <si>
    <t xml:space="preserve">Place close to UCC34141x-Q1.</t>
  </si>
  <si>
    <r>
      <rPr>
        <sz val="11"/>
        <rFont val="Arial"/>
        <family val="2"/>
        <charset val="1"/>
      </rPr>
      <t xml:space="preserve">Filter capacitor between FBVEE and COMA, C</t>
    </r>
    <r>
      <rPr>
        <vertAlign val="subscript"/>
        <sz val="11"/>
        <rFont val="Arial"/>
        <family val="2"/>
        <charset val="1"/>
      </rPr>
      <t xml:space="preserve">FBVEE</t>
    </r>
    <r>
      <rPr>
        <sz val="11"/>
        <rFont val="Arial"/>
        <family val="2"/>
        <charset val="1"/>
      </rPr>
      <t xml:space="preserve"> =</t>
    </r>
  </si>
  <si>
    <t xml:space="preserve">Note: Achieve the minimum required capacitance, careful attention should be paid to the applied DC voltage vs. capacitor rated working voltage, temperature, tolerance and dielectric type.</t>
  </si>
  <si>
    <t xml:space="preserve">UCC34141x-Q1 DESIGN CALCULATOR TOOL: SINGLE OUTPUT</t>
  </si>
  <si>
    <t xml:space="preserve">UCC34141x-Q1 1.5W, 12V VIN, Isolated DC/DC Module</t>
  </si>
  <si>
    <r>
      <rPr>
        <sz val="11"/>
        <rFont val="Arial"/>
        <family val="2"/>
        <charset val="1"/>
      </rPr>
      <t xml:space="preserve">Quiescent current of other load on (VDD – COM) except gate driver, I</t>
    </r>
    <r>
      <rPr>
        <vertAlign val="subscript"/>
        <sz val="11"/>
        <rFont val="Arial"/>
        <family val="2"/>
        <charset val="1"/>
      </rPr>
      <t xml:space="preserve">Q_OTHER_VDD</t>
    </r>
  </si>
  <si>
    <r>
      <rPr>
        <sz val="11"/>
        <rFont val="Arial"/>
        <family val="2"/>
        <charset val="1"/>
      </rPr>
      <t xml:space="preserve">Total quiescent current from (VDD-COM), I</t>
    </r>
    <r>
      <rPr>
        <vertAlign val="subscript"/>
        <sz val="11"/>
        <rFont val="Arial"/>
        <family val="2"/>
        <charset val="1"/>
      </rPr>
      <t xml:space="preserve">Q_VDD-COM</t>
    </r>
  </si>
  <si>
    <r>
      <rPr>
        <sz val="11"/>
        <rFont val="Arial"/>
        <family val="2"/>
        <charset val="1"/>
      </rPr>
      <t xml:space="preserve">Bottom feedback resistor between FBVDD and COM, R</t>
    </r>
    <r>
      <rPr>
        <vertAlign val="subscript"/>
        <sz val="11"/>
        <rFont val="Arial"/>
        <family val="2"/>
        <charset val="1"/>
      </rPr>
      <t xml:space="preserve">FBVDD_BOT</t>
    </r>
  </si>
  <si>
    <r>
      <rPr>
        <sz val="11"/>
        <rFont val="Arial"/>
        <family val="2"/>
        <charset val="1"/>
      </rPr>
      <t xml:space="preserve">Desired AC gate-switching ripple percentage between VDD and COM, %V</t>
    </r>
    <r>
      <rPr>
        <vertAlign val="subscript"/>
        <sz val="11"/>
        <rFont val="Arial"/>
        <family val="2"/>
        <charset val="1"/>
      </rPr>
      <t xml:space="preserve">PP_MAX</t>
    </r>
  </si>
  <si>
    <t xml:space="preserve">Output power contribution from gate driver quiescent current</t>
  </si>
  <si>
    <r>
      <rPr>
        <b val="true"/>
        <i val="true"/>
        <sz val="14"/>
        <rFont val="Arial"/>
        <family val="2"/>
        <charset val="1"/>
      </rPr>
      <t xml:space="preserve">Decoupling Capacitor Design Close to Output Load (C</t>
    </r>
    <r>
      <rPr>
        <b val="true"/>
        <i val="true"/>
        <vertAlign val="subscript"/>
        <sz val="14"/>
        <rFont val="Arial"/>
        <family val="2"/>
        <charset val="1"/>
      </rPr>
      <t xml:space="preserve">LOAD</t>
    </r>
    <r>
      <rPr>
        <b val="true"/>
        <i val="true"/>
        <sz val="14"/>
        <rFont val="Arial"/>
        <family val="2"/>
        <charset val="1"/>
      </rPr>
      <t xml:space="preserve">)</t>
    </r>
  </si>
  <si>
    <r>
      <rPr>
        <sz val="11"/>
        <rFont val="Arial"/>
        <family val="2"/>
        <charset val="1"/>
      </rPr>
      <t xml:space="preserve">Recommended min. energy-storage capacitance between VDD and COM, at Gate Driver. C</t>
    </r>
    <r>
      <rPr>
        <vertAlign val="subscript"/>
        <sz val="11"/>
        <rFont val="Arial"/>
        <family val="2"/>
        <charset val="1"/>
      </rPr>
      <t xml:space="preserve">LOAD_min</t>
    </r>
    <r>
      <rPr>
        <sz val="11"/>
        <rFont val="Arial"/>
        <family val="2"/>
        <charset val="1"/>
      </rPr>
      <t xml:space="preserve"> = </t>
    </r>
  </si>
  <si>
    <r>
      <rPr>
        <sz val="11"/>
        <rFont val="Arial"/>
        <family val="2"/>
        <charset val="1"/>
      </rPr>
      <t xml:space="preserve">Selected C</t>
    </r>
    <r>
      <rPr>
        <vertAlign val="subscript"/>
        <sz val="11"/>
        <rFont val="Arial"/>
        <family val="2"/>
        <charset val="1"/>
      </rPr>
      <t xml:space="preserve">LOAD</t>
    </r>
    <r>
      <rPr>
        <sz val="11"/>
        <rFont val="Arial"/>
        <family val="2"/>
        <charset val="1"/>
      </rPr>
      <t xml:space="preserve"> value, C</t>
    </r>
    <r>
      <rPr>
        <vertAlign val="subscript"/>
        <sz val="11"/>
        <rFont val="Arial"/>
        <family val="2"/>
        <charset val="1"/>
      </rPr>
      <t xml:space="preserve">LOAD</t>
    </r>
    <r>
      <rPr>
        <sz val="11"/>
        <rFont val="Arial"/>
        <family val="2"/>
        <charset val="1"/>
      </rPr>
      <t xml:space="preserve"> =</t>
    </r>
  </si>
  <si>
    <r>
      <rPr>
        <sz val="11"/>
        <rFont val="Arial"/>
        <family val="2"/>
        <charset val="1"/>
      </rPr>
      <t xml:space="preserve">Choose closest standard value higher than or equal to C</t>
    </r>
    <r>
      <rPr>
        <vertAlign val="subscript"/>
        <sz val="11"/>
        <rFont val="Arial"/>
        <family val="2"/>
        <charset val="1"/>
      </rPr>
      <t xml:space="preserve">LOAD_min</t>
    </r>
  </si>
  <si>
    <r>
      <rPr>
        <b val="true"/>
        <sz val="14"/>
        <color rgb="FF000000"/>
        <rFont val="Calibri"/>
        <family val="2"/>
        <charset val="1"/>
      </rPr>
      <t xml:space="preserve">C</t>
    </r>
    <r>
      <rPr>
        <b val="true"/>
        <vertAlign val="subscript"/>
        <sz val="14"/>
        <color rgb="FF000000"/>
        <rFont val="Calibri"/>
        <family val="2"/>
        <charset val="1"/>
      </rPr>
      <t xml:space="preserve">LOAD</t>
    </r>
  </si>
  <si>
    <t xml:space="preserve">Choose a value between 150kΩ and 350kΩ to enter the single output configuration mode</t>
  </si>
  <si>
    <t xml:space="preserve">INPUT UVLO PROGRAMMING &amp; START-UP DELAY CALCULATOR TOOL</t>
  </si>
  <si>
    <r>
      <rPr>
        <sz val="11"/>
        <color theme="1"/>
        <rFont val="Arial"/>
        <family val="2"/>
        <charset val="1"/>
      </rPr>
      <t xml:space="preserve">Nominal Input Voltage, V</t>
    </r>
    <r>
      <rPr>
        <vertAlign val="subscript"/>
        <sz val="11"/>
        <color theme="1"/>
        <rFont val="Arial"/>
        <family val="2"/>
        <charset val="1"/>
      </rPr>
      <t xml:space="preserve">IN_NOM</t>
    </r>
    <r>
      <rPr>
        <sz val="11"/>
        <color theme="1"/>
        <rFont val="Arial"/>
        <family val="2"/>
        <charset val="1"/>
      </rPr>
      <t xml:space="preserve"> =</t>
    </r>
  </si>
  <si>
    <r>
      <rPr>
        <sz val="11"/>
        <color theme="1"/>
        <rFont val="Arial"/>
        <family val="2"/>
        <charset val="1"/>
      </rPr>
      <t xml:space="preserve">Min. input voltage, V</t>
    </r>
    <r>
      <rPr>
        <vertAlign val="subscript"/>
        <sz val="11"/>
        <color theme="1"/>
        <rFont val="Arial"/>
        <family val="2"/>
        <charset val="1"/>
      </rPr>
      <t xml:space="preserve">IN_MIN</t>
    </r>
    <r>
      <rPr>
        <sz val="11"/>
        <color theme="1"/>
        <rFont val="Arial"/>
        <family val="2"/>
        <charset val="1"/>
      </rPr>
      <t xml:space="preserve"> =</t>
    </r>
  </si>
  <si>
    <r>
      <rPr>
        <sz val="11"/>
        <color theme="1"/>
        <rFont val="Arial"/>
        <family val="2"/>
        <charset val="1"/>
      </rPr>
      <t xml:space="preserve">Max. input voltage, V</t>
    </r>
    <r>
      <rPr>
        <vertAlign val="subscript"/>
        <sz val="11"/>
        <color theme="1"/>
        <rFont val="Arial"/>
        <family val="2"/>
        <charset val="1"/>
      </rPr>
      <t xml:space="preserve">IN_MAX</t>
    </r>
    <r>
      <rPr>
        <sz val="11"/>
        <color theme="1"/>
        <rFont val="Arial"/>
        <family val="2"/>
        <charset val="1"/>
      </rPr>
      <t xml:space="preserve"> =</t>
    </r>
  </si>
  <si>
    <r>
      <rPr>
        <sz val="11"/>
        <color theme="1"/>
        <rFont val="Arial"/>
        <family val="2"/>
        <charset val="1"/>
      </rPr>
      <t xml:space="preserve">Quiescent current allowance from the UVLO programmer resistors, I</t>
    </r>
    <r>
      <rPr>
        <vertAlign val="subscript"/>
        <sz val="11"/>
        <color theme="1"/>
        <rFont val="Arial"/>
        <family val="2"/>
        <charset val="1"/>
      </rPr>
      <t xml:space="preserve">Q_UVLO</t>
    </r>
    <r>
      <rPr>
        <sz val="11"/>
        <color theme="1"/>
        <rFont val="Arial"/>
        <family val="2"/>
        <charset val="1"/>
      </rPr>
      <t xml:space="preserve"> =</t>
    </r>
  </si>
  <si>
    <t xml:space="preserve">uA</t>
  </si>
  <si>
    <r>
      <rPr>
        <sz val="11"/>
        <color theme="1"/>
        <rFont val="Arial"/>
        <family val="2"/>
        <charset val="1"/>
      </rPr>
      <t xml:space="preserve">Start-up delay time by C</t>
    </r>
    <r>
      <rPr>
        <vertAlign val="subscript"/>
        <sz val="11"/>
        <color theme="1"/>
        <rFont val="Arial"/>
        <family val="2"/>
        <charset val="1"/>
      </rPr>
      <t xml:space="preserve">UVLO</t>
    </r>
    <r>
      <rPr>
        <sz val="11"/>
        <color theme="1"/>
        <rFont val="Arial"/>
        <family val="2"/>
        <charset val="1"/>
      </rPr>
      <t xml:space="preserve">, t</t>
    </r>
    <r>
      <rPr>
        <vertAlign val="subscript"/>
        <sz val="11"/>
        <color theme="1"/>
        <rFont val="Arial"/>
        <family val="2"/>
        <charset val="1"/>
      </rPr>
      <t xml:space="preserve">delay1</t>
    </r>
    <r>
      <rPr>
        <sz val="11"/>
        <color theme="1"/>
        <rFont val="Arial"/>
        <family val="2"/>
        <charset val="1"/>
      </rPr>
      <t xml:space="preserve"> =</t>
    </r>
  </si>
  <si>
    <t xml:space="preserve">ms</t>
  </si>
  <si>
    <r>
      <rPr>
        <sz val="11"/>
        <color theme="1"/>
        <rFont val="Arial"/>
        <family val="2"/>
        <charset val="1"/>
      </rPr>
      <t xml:space="preserve">Start-up delay time by C</t>
    </r>
    <r>
      <rPr>
        <vertAlign val="subscript"/>
        <sz val="11"/>
        <color theme="1"/>
        <rFont val="Arial"/>
        <family val="2"/>
        <charset val="1"/>
      </rPr>
      <t xml:space="preserve">ENA2</t>
    </r>
    <r>
      <rPr>
        <sz val="11"/>
        <color theme="1"/>
        <rFont val="Arial"/>
        <family val="2"/>
        <charset val="1"/>
      </rPr>
      <t xml:space="preserve">, t</t>
    </r>
    <r>
      <rPr>
        <vertAlign val="subscript"/>
        <sz val="11"/>
        <color theme="1"/>
        <rFont val="Arial"/>
        <family val="2"/>
        <charset val="1"/>
      </rPr>
      <t xml:space="preserve">delay2</t>
    </r>
    <r>
      <rPr>
        <sz val="11"/>
        <color theme="1"/>
        <rFont val="Arial"/>
        <family val="2"/>
        <charset val="1"/>
      </rPr>
      <t xml:space="preserve"> =</t>
    </r>
  </si>
  <si>
    <t xml:space="preserve">ENA THRESHOLD SPECS</t>
  </si>
  <si>
    <t xml:space="preserve">Rising Threshold</t>
  </si>
  <si>
    <t xml:space="preserve">Min</t>
  </si>
  <si>
    <t xml:space="preserve">Typ</t>
  </si>
  <si>
    <t xml:space="preserve">Max</t>
  </si>
  <si>
    <t xml:space="preserve">Falling Threshold</t>
  </si>
  <si>
    <t xml:space="preserve">RECOMMENDED COMPONENT VALUE</t>
  </si>
  <si>
    <r>
      <rPr>
        <sz val="11"/>
        <rFont val="Arial"/>
        <family val="2"/>
        <charset val="1"/>
      </rPr>
      <t xml:space="preserve">Recommended R</t>
    </r>
    <r>
      <rPr>
        <vertAlign val="subscript"/>
        <sz val="11"/>
        <rFont val="Arial"/>
        <family val="2"/>
        <charset val="1"/>
      </rPr>
      <t xml:space="preserve">UVLO_TOP</t>
    </r>
    <r>
      <rPr>
        <sz val="11"/>
        <rFont val="Arial"/>
        <family val="2"/>
        <charset val="1"/>
      </rPr>
      <t xml:space="preserve"> =</t>
    </r>
  </si>
  <si>
    <r>
      <rPr>
        <sz val="11"/>
        <rFont val="Arial"/>
        <family val="2"/>
        <charset val="1"/>
      </rPr>
      <t xml:space="preserve">Selected R</t>
    </r>
    <r>
      <rPr>
        <vertAlign val="subscript"/>
        <sz val="11"/>
        <rFont val="Arial"/>
        <family val="2"/>
        <charset val="1"/>
      </rPr>
      <t xml:space="preserve">UVLO_TOP</t>
    </r>
    <r>
      <rPr>
        <sz val="11"/>
        <rFont val="Arial"/>
        <family val="2"/>
        <charset val="1"/>
      </rPr>
      <t xml:space="preserve"> value </t>
    </r>
  </si>
  <si>
    <t xml:space="preserve">Choose closest standard value higher than or equal to the calculated value above. </t>
  </si>
  <si>
    <r>
      <rPr>
        <sz val="11"/>
        <rFont val="Arial"/>
        <family val="2"/>
        <charset val="1"/>
      </rPr>
      <t xml:space="preserve">Recommended R</t>
    </r>
    <r>
      <rPr>
        <vertAlign val="subscript"/>
        <sz val="11"/>
        <rFont val="Arial"/>
        <family val="2"/>
        <charset val="1"/>
      </rPr>
      <t xml:space="preserve">UVLO_BOT</t>
    </r>
    <r>
      <rPr>
        <sz val="11"/>
        <rFont val="Arial"/>
        <family val="2"/>
        <charset val="1"/>
      </rPr>
      <t xml:space="preserve"> =</t>
    </r>
  </si>
  <si>
    <r>
      <rPr>
        <sz val="11"/>
        <rFont val="Arial"/>
        <family val="2"/>
        <charset val="1"/>
      </rPr>
      <t xml:space="preserve">Selected R</t>
    </r>
    <r>
      <rPr>
        <vertAlign val="subscript"/>
        <sz val="11"/>
        <rFont val="Arial"/>
        <family val="2"/>
        <charset val="1"/>
      </rPr>
      <t xml:space="preserve">UVLO_BOT</t>
    </r>
    <r>
      <rPr>
        <sz val="11"/>
        <rFont val="Arial"/>
        <family val="2"/>
        <charset val="1"/>
      </rPr>
      <t xml:space="preserve"> value </t>
    </r>
  </si>
  <si>
    <r>
      <rPr>
        <sz val="11"/>
        <rFont val="Arial"/>
        <family val="2"/>
        <charset val="1"/>
      </rPr>
      <t xml:space="preserve">Recommended C</t>
    </r>
    <r>
      <rPr>
        <vertAlign val="subscript"/>
        <sz val="11"/>
        <rFont val="Arial"/>
        <family val="2"/>
        <charset val="1"/>
      </rPr>
      <t xml:space="preserve">UVLO</t>
    </r>
    <r>
      <rPr>
        <sz val="11"/>
        <rFont val="Arial"/>
        <family val="2"/>
        <charset val="1"/>
      </rPr>
      <t xml:space="preserve"> =</t>
    </r>
  </si>
  <si>
    <t xml:space="preserve">nF</t>
  </si>
  <si>
    <t xml:space="preserve">Choose closest standard value </t>
  </si>
  <si>
    <r>
      <rPr>
        <sz val="11"/>
        <rFont val="Arial"/>
        <family val="2"/>
        <charset val="1"/>
      </rPr>
      <t xml:space="preserve">Recommended R</t>
    </r>
    <r>
      <rPr>
        <vertAlign val="subscript"/>
        <sz val="11"/>
        <rFont val="Arial"/>
        <family val="2"/>
        <charset val="1"/>
      </rPr>
      <t xml:space="preserve">ENA2</t>
    </r>
    <r>
      <rPr>
        <sz val="11"/>
        <rFont val="Arial"/>
        <family val="2"/>
        <charset val="1"/>
      </rPr>
      <t xml:space="preserve"> =</t>
    </r>
  </si>
  <si>
    <r>
      <rPr>
        <sz val="11"/>
        <rFont val="Arial"/>
        <family val="2"/>
        <charset val="1"/>
      </rPr>
      <t xml:space="preserve">Selected R</t>
    </r>
    <r>
      <rPr>
        <vertAlign val="subscript"/>
        <sz val="11"/>
        <rFont val="Arial"/>
        <family val="2"/>
        <charset val="1"/>
      </rPr>
      <t xml:space="preserve">ENA2</t>
    </r>
    <r>
      <rPr>
        <sz val="11"/>
        <rFont val="Arial"/>
        <family val="2"/>
        <charset val="1"/>
      </rPr>
      <t xml:space="preserve"> value </t>
    </r>
  </si>
  <si>
    <r>
      <rPr>
        <sz val="11"/>
        <rFont val="Arial"/>
        <family val="2"/>
        <charset val="1"/>
      </rPr>
      <t xml:space="preserve">Recommended C</t>
    </r>
    <r>
      <rPr>
        <vertAlign val="subscript"/>
        <sz val="11"/>
        <rFont val="Arial"/>
        <family val="2"/>
        <charset val="1"/>
      </rPr>
      <t xml:space="preserve">EMA2</t>
    </r>
    <r>
      <rPr>
        <sz val="11"/>
        <rFont val="Arial"/>
        <family val="2"/>
        <charset val="1"/>
      </rPr>
      <t xml:space="preserve"> =</t>
    </r>
  </si>
  <si>
    <t xml:space="preserve">ENA PIN VOLTAGE vs THRESHOLD CHECK for UVLO</t>
  </si>
  <si>
    <r>
      <rPr>
        <sz val="11"/>
        <rFont val="Arial"/>
        <family val="2"/>
        <charset val="1"/>
      </rPr>
      <t xml:space="preserve">Minimum ENA PIN voltage value at V</t>
    </r>
    <r>
      <rPr>
        <vertAlign val="subscript"/>
        <sz val="11"/>
        <rFont val="Arial"/>
        <family val="2"/>
        <charset val="1"/>
      </rPr>
      <t xml:space="preserve">IN_MIN, </t>
    </r>
    <r>
      <rPr>
        <sz val="11"/>
        <rFont val="Arial"/>
        <family val="2"/>
        <charset val="1"/>
      </rPr>
      <t xml:space="preserve">V</t>
    </r>
    <r>
      <rPr>
        <vertAlign val="subscript"/>
        <sz val="11"/>
        <rFont val="Arial"/>
        <family val="2"/>
        <charset val="1"/>
      </rPr>
      <t xml:space="preserve">ENA_MIN </t>
    </r>
    <r>
      <rPr>
        <sz val="11"/>
        <rFont val="Arial"/>
        <family val="2"/>
        <charset val="1"/>
      </rPr>
      <t xml:space="preserve">=</t>
    </r>
  </si>
  <si>
    <t xml:space="preserve">This value should be higher than the max. ENA rising threshold (1.575V). Other wise, this cell will be flagged in red color.</t>
  </si>
  <si>
    <r>
      <rPr>
        <sz val="11"/>
        <rFont val="Arial"/>
        <family val="2"/>
        <charset val="1"/>
      </rPr>
      <t xml:space="preserve">Nominal ENA PIN voltage value at V</t>
    </r>
    <r>
      <rPr>
        <vertAlign val="subscript"/>
        <sz val="11"/>
        <rFont val="Arial"/>
        <family val="2"/>
        <charset val="1"/>
      </rPr>
      <t xml:space="preserve">IN_NOM, </t>
    </r>
    <r>
      <rPr>
        <sz val="11"/>
        <rFont val="Arial"/>
        <family val="2"/>
        <charset val="1"/>
      </rPr>
      <t xml:space="preserve">V</t>
    </r>
    <r>
      <rPr>
        <vertAlign val="subscript"/>
        <sz val="11"/>
        <rFont val="Arial"/>
        <family val="2"/>
        <charset val="1"/>
      </rPr>
      <t xml:space="preserve">ENA_NOM </t>
    </r>
    <r>
      <rPr>
        <sz val="11"/>
        <rFont val="Arial"/>
        <family val="2"/>
        <charset val="1"/>
      </rPr>
      <t xml:space="preserve">=</t>
    </r>
  </si>
  <si>
    <r>
      <rPr>
        <sz val="11"/>
        <rFont val="Arial"/>
        <family val="2"/>
        <charset val="1"/>
      </rPr>
      <t xml:space="preserve">Maximum ENA PIN voltage value at V</t>
    </r>
    <r>
      <rPr>
        <vertAlign val="subscript"/>
        <sz val="11"/>
        <rFont val="Arial"/>
        <family val="2"/>
        <charset val="1"/>
      </rPr>
      <t xml:space="preserve">IN_MAX, </t>
    </r>
    <r>
      <rPr>
        <sz val="11"/>
        <rFont val="Arial"/>
        <family val="2"/>
        <charset val="1"/>
      </rPr>
      <t xml:space="preserve">V</t>
    </r>
    <r>
      <rPr>
        <vertAlign val="subscript"/>
        <sz val="11"/>
        <rFont val="Arial"/>
        <family val="2"/>
        <charset val="1"/>
      </rPr>
      <t xml:space="preserve">ENA_MAX </t>
    </r>
    <r>
      <rPr>
        <sz val="11"/>
        <rFont val="Arial"/>
        <family val="2"/>
        <charset val="1"/>
      </rPr>
      <t xml:space="preserve">=</t>
    </r>
  </si>
  <si>
    <t xml:space="preserve">This value should be lower than the abs. max. of ENA pin (5.5V). Otherwise, this cell will be flagged in red color.</t>
  </si>
</sst>
</file>

<file path=xl/styles.xml><?xml version="1.0" encoding="utf-8"?>
<styleSheet xmlns="http://schemas.openxmlformats.org/spreadsheetml/2006/main">
  <numFmts count="5">
    <numFmt numFmtId="164" formatCode="General"/>
    <numFmt numFmtId="165" formatCode="0.00"/>
    <numFmt numFmtId="166" formatCode="0"/>
    <numFmt numFmtId="167" formatCode="0.0"/>
    <numFmt numFmtId="168" formatCode="0.000"/>
  </numFmts>
  <fonts count="32">
    <font>
      <sz val="11"/>
      <color theme="1"/>
      <name val="Calibri"/>
      <family val="2"/>
      <charset val="1"/>
    </font>
    <font>
      <sz val="10"/>
      <name val="Arial"/>
      <family val="0"/>
    </font>
    <font>
      <sz val="10"/>
      <name val="Arial"/>
      <family val="0"/>
    </font>
    <font>
      <sz val="10"/>
      <name val="Arial"/>
      <family val="0"/>
    </font>
    <font>
      <sz val="11"/>
      <color theme="1"/>
      <name val="Calibri"/>
      <family val="2"/>
      <charset val="136"/>
    </font>
    <font>
      <b val="true"/>
      <sz val="24"/>
      <color rgb="FFFFFFFF"/>
      <name val="Arial"/>
      <family val="2"/>
      <charset val="1"/>
    </font>
    <font>
      <b val="true"/>
      <sz val="12"/>
      <name val="Arial"/>
      <family val="2"/>
      <charset val="1"/>
    </font>
    <font>
      <sz val="11"/>
      <color theme="1"/>
      <name val="Arial"/>
      <family val="2"/>
      <charset val="1"/>
    </font>
    <font>
      <sz val="11"/>
      <color theme="0"/>
      <name val="Calibri"/>
      <family val="2"/>
      <charset val="136"/>
    </font>
    <font>
      <b val="true"/>
      <sz val="16"/>
      <color theme="1"/>
      <name val="Arial"/>
      <family val="2"/>
      <charset val="1"/>
    </font>
    <font>
      <b val="true"/>
      <sz val="14"/>
      <color rgb="FF0000FF"/>
      <name val="Arial"/>
      <family val="2"/>
      <charset val="1"/>
    </font>
    <font>
      <b val="true"/>
      <sz val="14"/>
      <color theme="1"/>
      <name val="Arial"/>
      <family val="2"/>
      <charset val="1"/>
    </font>
    <font>
      <b val="true"/>
      <sz val="14"/>
      <color rgb="FF92D050"/>
      <name val="Arial"/>
      <family val="2"/>
      <charset val="1"/>
    </font>
    <font>
      <b val="true"/>
      <sz val="14"/>
      <color rgb="FFFF0000"/>
      <name val="Arial"/>
      <family val="2"/>
      <charset val="1"/>
    </font>
    <font>
      <sz val="11"/>
      <name val="Arial"/>
      <family val="2"/>
      <charset val="1"/>
    </font>
    <font>
      <sz val="11"/>
      <color rgb="FFFF00FF"/>
      <name val="Arial"/>
      <family val="2"/>
      <charset val="1"/>
    </font>
    <font>
      <b val="true"/>
      <i val="true"/>
      <sz val="16"/>
      <name val="Arial"/>
      <family val="2"/>
      <charset val="1"/>
    </font>
    <font>
      <b val="true"/>
      <sz val="11"/>
      <name val="Arial"/>
      <family val="2"/>
      <charset val="1"/>
    </font>
    <font>
      <vertAlign val="subscript"/>
      <sz val="11"/>
      <name val="Arial"/>
      <family val="2"/>
      <charset val="1"/>
    </font>
    <font>
      <sz val="11"/>
      <color rgb="FF006100"/>
      <name val="Calibri"/>
      <family val="2"/>
      <charset val="1"/>
    </font>
    <font>
      <b val="true"/>
      <sz val="14"/>
      <color rgb="FF000000"/>
      <name val="Calibri"/>
      <family val="2"/>
      <charset val="1"/>
    </font>
    <font>
      <b val="true"/>
      <vertAlign val="subscript"/>
      <sz val="14"/>
      <color rgb="FF000000"/>
      <name val="Calibri"/>
      <family val="2"/>
      <charset val="1"/>
    </font>
    <font>
      <sz val="14"/>
      <color rgb="FF000000"/>
      <name val="Calibri"/>
      <family val="2"/>
      <charset val="1"/>
    </font>
    <font>
      <b val="true"/>
      <sz val="11"/>
      <color theme="1"/>
      <name val="Calibri"/>
      <family val="2"/>
      <charset val="1"/>
    </font>
    <font>
      <b val="true"/>
      <i val="true"/>
      <sz val="11"/>
      <color rgb="FFFF0000"/>
      <name val="Arial"/>
      <family val="2"/>
      <charset val="1"/>
    </font>
    <font>
      <b val="true"/>
      <i val="true"/>
      <sz val="16"/>
      <color theme="1"/>
      <name val="Arial"/>
      <family val="2"/>
      <charset val="1"/>
    </font>
    <font>
      <b val="true"/>
      <i val="true"/>
      <sz val="14"/>
      <name val="Arial"/>
      <family val="2"/>
      <charset val="1"/>
    </font>
    <font>
      <b val="true"/>
      <i val="true"/>
      <vertAlign val="subscript"/>
      <sz val="14"/>
      <name val="Arial"/>
      <family val="2"/>
      <charset val="1"/>
    </font>
    <font>
      <b val="true"/>
      <sz val="15"/>
      <color theme="1"/>
      <name val="Calibri"/>
      <family val="2"/>
      <charset val="1"/>
    </font>
    <font>
      <vertAlign val="subscript"/>
      <sz val="11"/>
      <color theme="1"/>
      <name val="Arial"/>
      <family val="2"/>
      <charset val="1"/>
    </font>
    <font>
      <sz val="11"/>
      <color rgb="FFFF0000"/>
      <name val="Arial"/>
      <family val="2"/>
      <charset val="1"/>
    </font>
    <font>
      <sz val="11"/>
      <color rgb="FFFF0000"/>
      <name val="Calibri"/>
      <family val="2"/>
      <charset val="136"/>
    </font>
  </fonts>
  <fills count="10">
    <fill>
      <patternFill patternType="none"/>
    </fill>
    <fill>
      <patternFill patternType="gray125"/>
    </fill>
    <fill>
      <patternFill patternType="solid">
        <fgColor rgb="FFC6EFCE"/>
        <bgColor rgb="FFD9D9D9"/>
      </patternFill>
    </fill>
    <fill>
      <patternFill patternType="solid">
        <fgColor rgb="FFFF0000"/>
        <bgColor rgb="FF993300"/>
      </patternFill>
    </fill>
    <fill>
      <patternFill patternType="solid">
        <fgColor theme="0"/>
        <bgColor rgb="FFF2F2F2"/>
      </patternFill>
    </fill>
    <fill>
      <patternFill patternType="solid">
        <fgColor rgb="FFFFFF00"/>
        <bgColor rgb="FFFFFF00"/>
      </patternFill>
    </fill>
    <fill>
      <patternFill patternType="solid">
        <fgColor rgb="FF92D050"/>
        <bgColor rgb="FFC0C0C0"/>
      </patternFill>
    </fill>
    <fill>
      <patternFill patternType="solid">
        <fgColor theme="6" tint="0.7999"/>
        <bgColor rgb="FFF2F2F2"/>
      </patternFill>
    </fill>
    <fill>
      <patternFill patternType="solid">
        <fgColor rgb="FFD9D9D9"/>
        <bgColor rgb="FFC6EFCE"/>
      </patternFill>
    </fill>
    <fill>
      <patternFill patternType="solid">
        <fgColor theme="0" tint="-0.05"/>
        <bgColor rgb="FFEBF1DE"/>
      </patternFill>
    </fill>
  </fills>
  <borders count="46">
    <border diagonalUp="false" diagonalDown="false">
      <left/>
      <right/>
      <top/>
      <bottom/>
      <diagonal/>
    </border>
    <border diagonalUp="false" diagonalDown="false">
      <left style="medium"/>
      <right style="medium"/>
      <top style="medium"/>
      <bottom/>
      <diagonal/>
    </border>
    <border diagonalUp="false" diagonalDown="false">
      <left style="medium"/>
      <right style="medium"/>
      <top/>
      <bottom style="medium"/>
      <diagonal/>
    </border>
    <border diagonalUp="false" diagonalDown="false">
      <left style="medium"/>
      <right style="medium"/>
      <top/>
      <bottom/>
      <diagonal/>
    </border>
    <border diagonalUp="false" diagonalDown="false">
      <left style="medium"/>
      <right style="medium"/>
      <top style="medium"/>
      <bottom style="medium"/>
      <diagonal/>
    </border>
    <border diagonalUp="false" diagonalDown="false">
      <left style="medium"/>
      <right/>
      <top style="medium"/>
      <bottom style="thin"/>
      <diagonal/>
    </border>
    <border diagonalUp="false" diagonalDown="false">
      <left style="thin"/>
      <right style="thin"/>
      <top style="medium"/>
      <bottom style="thin"/>
      <diagonal/>
    </border>
    <border diagonalUp="false" diagonalDown="false">
      <left/>
      <right/>
      <top style="medium"/>
      <bottom style="thin"/>
      <diagonal/>
    </border>
    <border diagonalUp="false" diagonalDown="false">
      <left style="thin"/>
      <right style="medium"/>
      <top style="thin"/>
      <bottom/>
      <diagonal/>
    </border>
    <border diagonalUp="false" diagonalDown="false">
      <left style="medium"/>
      <right style="thin"/>
      <top/>
      <bottom style="thin"/>
      <diagonal/>
    </border>
    <border diagonalUp="false" diagonalDown="false">
      <left style="thin"/>
      <right style="thin"/>
      <top/>
      <bottom style="thin"/>
      <diagonal/>
    </border>
    <border diagonalUp="false" diagonalDown="false">
      <left style="thin"/>
      <right/>
      <top/>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style="medium"/>
      <top style="thin"/>
      <bottom style="thin"/>
      <diagonal/>
    </border>
    <border diagonalUp="false" diagonalDown="false">
      <left style="medium"/>
      <right style="thin"/>
      <top style="thin"/>
      <bottom/>
      <diagonal/>
    </border>
    <border diagonalUp="false" diagonalDown="false">
      <left style="thin"/>
      <right style="thin"/>
      <top style="thin"/>
      <bottom/>
      <diagonal/>
    </border>
    <border diagonalUp="false" diagonalDown="false">
      <left style="thin"/>
      <right/>
      <top style="thin"/>
      <bottom/>
      <diagonal/>
    </border>
    <border diagonalUp="false" diagonalDown="false">
      <left/>
      <right style="medium"/>
      <top style="thin"/>
      <bottom style="thin"/>
      <diagonal/>
    </border>
    <border diagonalUp="false" diagonalDown="false">
      <left/>
      <right style="thin"/>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top style="thin"/>
      <bottom style="medium"/>
      <diagonal/>
    </border>
    <border diagonalUp="false" diagonalDown="false">
      <left style="thin"/>
      <right style="medium"/>
      <top style="thin"/>
      <bottom style="medium"/>
      <diagonal/>
    </border>
    <border diagonalUp="false" diagonalDown="false">
      <left style="medium"/>
      <right style="medium"/>
      <top style="medium"/>
      <bottom style="thin"/>
      <diagonal/>
    </border>
    <border diagonalUp="false" diagonalDown="false">
      <left/>
      <right style="thin"/>
      <top style="thin"/>
      <bottom style="medium"/>
      <diagonal/>
    </border>
    <border diagonalUp="false" diagonalDown="false">
      <left style="medium"/>
      <right/>
      <top/>
      <bottom/>
      <diagonal/>
    </border>
    <border diagonalUp="false" diagonalDown="false">
      <left/>
      <right style="medium"/>
      <top/>
      <bottom style="thin"/>
      <diagonal/>
    </border>
    <border diagonalUp="false" diagonalDown="false">
      <left style="medium"/>
      <right style="thin"/>
      <top/>
      <bottom style="medium"/>
      <diagonal/>
    </border>
    <border diagonalUp="false" diagonalDown="false">
      <left style="thin"/>
      <right/>
      <top/>
      <bottom style="medium"/>
      <diagonal/>
    </border>
    <border diagonalUp="false" diagonalDown="false">
      <left style="thin"/>
      <right style="thin"/>
      <top/>
      <bottom style="medium"/>
      <diagonal/>
    </border>
    <border diagonalUp="false" diagonalDown="false">
      <left/>
      <right style="thin"/>
      <top/>
      <bottom style="thin"/>
      <diagonal/>
    </border>
    <border diagonalUp="false" diagonalDown="false">
      <left style="thin"/>
      <right style="medium"/>
      <top/>
      <bottom style="thin"/>
      <diagonal/>
    </border>
    <border diagonalUp="false" diagonalDown="false">
      <left/>
      <right style="thin"/>
      <top/>
      <bottom style="medium"/>
      <diagonal/>
    </border>
    <border diagonalUp="false" diagonalDown="false">
      <left style="thin"/>
      <right style="medium"/>
      <top/>
      <bottom style="medium"/>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medium"/>
      <right/>
      <top style="thin"/>
      <bottom style="thin"/>
      <diagonal/>
    </border>
    <border diagonalUp="false" diagonalDown="false">
      <left/>
      <right/>
      <top style="thin"/>
      <bottom style="thin"/>
      <diagonal/>
    </border>
    <border diagonalUp="false" diagonalDown="false">
      <left style="medium"/>
      <right/>
      <top/>
      <bottom style="medium"/>
      <diagonal/>
    </border>
    <border diagonalUp="false" diagonalDown="false">
      <left style="medium"/>
      <right/>
      <top style="thin"/>
      <bottom/>
      <diagonal/>
    </border>
    <border diagonalUp="false" diagonalDown="false">
      <left style="medium"/>
      <right/>
      <top/>
      <bottom style="thin"/>
      <diagonal/>
    </border>
    <border diagonalUp="false" diagonalDown="false">
      <left style="medium"/>
      <right/>
      <top style="thin"/>
      <bottom style="medium"/>
      <diagonal/>
    </border>
    <border diagonalUp="false" diagonalDown="false">
      <left/>
      <right style="thin"/>
      <top/>
      <bottom/>
      <diagonal/>
    </border>
    <border diagonalUp="false" diagonalDown="false">
      <left style="thin"/>
      <right/>
      <top/>
      <bottom/>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center"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19" fillId="2" borderId="0" applyFont="true" applyBorder="false" applyAlignment="true" applyProtection="false">
      <alignment horizontal="general" vertical="bottom" textRotation="0" wrapText="false" indent="0" shrinkToFit="false"/>
    </xf>
  </cellStyleXfs>
  <cellXfs count="1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20" applyFont="true" applyBorder="false" applyAlignment="true" applyProtection="false">
      <alignment horizontal="general" vertical="center" textRotation="0" wrapText="false" indent="0" shrinkToFit="false"/>
      <protection locked="true" hidden="false"/>
    </xf>
    <xf numFmtId="165" fontId="4" fillId="0" borderId="0" xfId="20" applyFont="true" applyBorder="false" applyAlignment="true" applyProtection="false">
      <alignment horizontal="general" vertical="center" textRotation="0" wrapText="false" indent="0" shrinkToFit="false"/>
      <protection locked="true" hidden="false"/>
    </xf>
    <xf numFmtId="164" fontId="4" fillId="0" borderId="0" xfId="20" applyFont="true" applyBorder="false" applyAlignment="true" applyProtection="true">
      <alignment horizontal="general" vertical="center" textRotation="0" wrapText="false" indent="0" shrinkToFit="false"/>
      <protection locked="false" hidden="false"/>
    </xf>
    <xf numFmtId="164" fontId="5" fillId="3" borderId="0" xfId="21" applyFont="true" applyBorder="true" applyAlignment="true" applyProtection="true">
      <alignment horizontal="center" vertical="center" textRotation="0" wrapText="true" indent="0" shrinkToFit="false"/>
      <protection locked="false" hidden="false"/>
    </xf>
    <xf numFmtId="165" fontId="4" fillId="0" borderId="0" xfId="20" applyFont="true" applyBorder="false" applyAlignment="true" applyProtection="true">
      <alignment horizontal="general" vertical="center" textRotation="0" wrapText="false" indent="0" shrinkToFit="false"/>
      <protection locked="false" hidden="false"/>
    </xf>
    <xf numFmtId="164" fontId="6" fillId="4" borderId="1" xfId="21" applyFont="true" applyBorder="true" applyAlignment="true" applyProtection="true">
      <alignment horizontal="left" vertical="center" textRotation="0" wrapText="false" indent="0" shrinkToFit="false"/>
      <protection locked="false" hidden="false"/>
    </xf>
    <xf numFmtId="164" fontId="7" fillId="4" borderId="2" xfId="21" applyFont="true" applyBorder="true" applyAlignment="true" applyProtection="true">
      <alignment horizontal="center" vertical="center" textRotation="0" wrapText="true" indent="0" shrinkToFit="false"/>
      <protection locked="false" hidden="false"/>
    </xf>
    <xf numFmtId="164" fontId="4" fillId="4" borderId="0" xfId="20" applyFont="true" applyBorder="false" applyAlignment="true" applyProtection="true">
      <alignment horizontal="general" vertical="center" textRotation="0" wrapText="false" indent="0" shrinkToFit="false"/>
      <protection locked="false" hidden="false"/>
    </xf>
    <xf numFmtId="164" fontId="8" fillId="0" borderId="0" xfId="20" applyFont="true" applyBorder="false" applyAlignment="true" applyProtection="true">
      <alignment horizontal="general" vertical="center" textRotation="0" wrapText="false" indent="0" shrinkToFit="false"/>
      <protection locked="false" hidden="false"/>
    </xf>
    <xf numFmtId="164" fontId="9" fillId="4" borderId="1" xfId="21" applyFont="true" applyBorder="true" applyAlignment="true" applyProtection="true">
      <alignment horizontal="center" vertical="center" textRotation="0" wrapText="true" indent="0" shrinkToFit="false"/>
      <protection locked="false" hidden="false"/>
    </xf>
    <xf numFmtId="164" fontId="10" fillId="4" borderId="3" xfId="21" applyFont="true" applyBorder="true" applyAlignment="true" applyProtection="true">
      <alignment horizontal="center" vertical="center" textRotation="0" wrapText="false" indent="0" shrinkToFit="false"/>
      <protection locked="false" hidden="false"/>
    </xf>
    <xf numFmtId="164" fontId="11" fillId="4" borderId="2" xfId="21" applyFont="true" applyBorder="true" applyAlignment="true" applyProtection="true">
      <alignment horizontal="center" vertical="center" textRotation="0" wrapText="false" indent="0" shrinkToFit="false"/>
      <protection locked="false" hidden="false"/>
    </xf>
    <xf numFmtId="166" fontId="4" fillId="0" borderId="0" xfId="20" applyFont="true" applyBorder="false" applyAlignment="true" applyProtection="false">
      <alignment horizontal="general" vertical="center" textRotation="0" wrapText="false" indent="0" shrinkToFit="false"/>
      <protection locked="true" hidden="false"/>
    </xf>
    <xf numFmtId="164" fontId="14" fillId="4" borderId="4" xfId="21" applyFont="true" applyBorder="true" applyAlignment="true" applyProtection="true">
      <alignment horizontal="center" vertical="center" textRotation="0" wrapText="true" indent="0" shrinkToFit="false"/>
      <protection locked="false" hidden="false"/>
    </xf>
    <xf numFmtId="165" fontId="4" fillId="0" borderId="0" xfId="20" applyFont="true" applyBorder="false" applyAlignment="true" applyProtection="true">
      <alignment horizontal="general" vertical="center" textRotation="0" wrapText="true" indent="0" shrinkToFit="false"/>
      <protection locked="false" hidden="false"/>
    </xf>
    <xf numFmtId="164" fontId="16" fillId="5" borderId="4" xfId="21" applyFont="true" applyBorder="true" applyAlignment="true" applyProtection="true">
      <alignment horizontal="center" vertical="center" textRotation="0" wrapText="false" indent="0" shrinkToFit="false"/>
      <protection locked="false" hidden="false"/>
    </xf>
    <xf numFmtId="164" fontId="7" fillId="0" borderId="5" xfId="20" applyFont="true" applyBorder="true" applyAlignment="true" applyProtection="false">
      <alignment horizontal="general" vertical="center" textRotation="0" wrapText="false" indent="0" shrinkToFit="false"/>
      <protection locked="true" hidden="false"/>
    </xf>
    <xf numFmtId="167" fontId="17" fillId="6" borderId="6" xfId="21" applyFont="true" applyBorder="true" applyAlignment="true" applyProtection="true">
      <alignment horizontal="center" vertical="center" textRotation="0" wrapText="false" indent="0" shrinkToFit="false"/>
      <protection locked="false" hidden="false"/>
    </xf>
    <xf numFmtId="164" fontId="4" fillId="0" borderId="7" xfId="20" applyFont="true" applyBorder="true" applyAlignment="true" applyProtection="false">
      <alignment horizontal="general" vertical="center" textRotation="0" wrapText="false" indent="0" shrinkToFit="false"/>
      <protection locked="true" hidden="false"/>
    </xf>
    <xf numFmtId="164" fontId="14" fillId="4" borderId="8" xfId="21" applyFont="true" applyBorder="true" applyAlignment="true" applyProtection="true">
      <alignment horizontal="left" vertical="center" textRotation="0" wrapText="true" indent="0" shrinkToFit="false"/>
      <protection locked="false" hidden="false"/>
    </xf>
    <xf numFmtId="164" fontId="14" fillId="4" borderId="9" xfId="21" applyFont="true" applyBorder="true" applyAlignment="true" applyProtection="false">
      <alignment horizontal="general" vertical="center" textRotation="0" wrapText="false" indent="0" shrinkToFit="false"/>
      <protection locked="true" hidden="false"/>
    </xf>
    <xf numFmtId="167" fontId="17" fillId="6" borderId="10" xfId="21" applyFont="true" applyBorder="true" applyAlignment="true" applyProtection="true">
      <alignment horizontal="center" vertical="center" textRotation="0" wrapText="false" indent="0" shrinkToFit="false"/>
      <protection locked="false" hidden="false"/>
    </xf>
    <xf numFmtId="164" fontId="14" fillId="4" borderId="11" xfId="21" applyFont="true" applyBorder="true" applyAlignment="true" applyProtection="false">
      <alignment horizontal="general" vertical="center" textRotation="0" wrapText="false" indent="0" shrinkToFit="false"/>
      <protection locked="true" hidden="false"/>
    </xf>
    <xf numFmtId="164" fontId="14" fillId="4" borderId="12" xfId="21" applyFont="true" applyBorder="true" applyAlignment="true" applyProtection="true">
      <alignment horizontal="general" vertical="center" textRotation="0" wrapText="false" indent="0" shrinkToFit="false"/>
      <protection locked="false" hidden="false"/>
    </xf>
    <xf numFmtId="164" fontId="17" fillId="6" borderId="13" xfId="21" applyFont="true" applyBorder="true" applyAlignment="true" applyProtection="true">
      <alignment horizontal="center" vertical="center" textRotation="0" wrapText="false" indent="0" shrinkToFit="false"/>
      <protection locked="false" hidden="false"/>
    </xf>
    <xf numFmtId="164" fontId="14" fillId="4" borderId="14" xfId="21" applyFont="true" applyBorder="true" applyAlignment="true" applyProtection="true">
      <alignment horizontal="general" vertical="center" textRotation="0" wrapText="false" indent="0" shrinkToFit="false"/>
      <protection locked="false" hidden="false"/>
    </xf>
    <xf numFmtId="164" fontId="14" fillId="4" borderId="15" xfId="21" applyFont="true" applyBorder="true" applyAlignment="true" applyProtection="true">
      <alignment horizontal="left" vertical="center" textRotation="0" wrapText="false" indent="0" shrinkToFit="false"/>
      <protection locked="false" hidden="false"/>
    </xf>
    <xf numFmtId="164" fontId="14" fillId="4" borderId="16" xfId="21" applyFont="true" applyBorder="true" applyAlignment="true" applyProtection="true">
      <alignment horizontal="general" vertical="center" textRotation="0" wrapText="false" indent="0" shrinkToFit="false"/>
      <protection locked="false" hidden="false"/>
    </xf>
    <xf numFmtId="164" fontId="17" fillId="6" borderId="17" xfId="21" applyFont="true" applyBorder="true" applyAlignment="true" applyProtection="true">
      <alignment horizontal="center" vertical="center" textRotation="0" wrapText="false" indent="0" shrinkToFit="false"/>
      <protection locked="false" hidden="false"/>
    </xf>
    <xf numFmtId="164" fontId="14" fillId="4" borderId="18" xfId="21" applyFont="true" applyBorder="true" applyAlignment="true" applyProtection="true">
      <alignment horizontal="general" vertical="center" textRotation="0" wrapText="false" indent="0" shrinkToFit="false"/>
      <protection locked="false" hidden="false"/>
    </xf>
    <xf numFmtId="164" fontId="14" fillId="4" borderId="8" xfId="21" applyFont="true" applyBorder="true" applyAlignment="true" applyProtection="true">
      <alignment horizontal="left" vertical="center" textRotation="0" wrapText="false" indent="0" shrinkToFit="false"/>
      <protection locked="false" hidden="false"/>
    </xf>
    <xf numFmtId="164" fontId="17" fillId="6" borderId="18" xfId="21" applyFont="true" applyBorder="true" applyAlignment="true" applyProtection="true">
      <alignment horizontal="center" vertical="center" textRotation="0" wrapText="false" indent="0" shrinkToFit="false"/>
      <protection locked="false" hidden="false"/>
    </xf>
    <xf numFmtId="164" fontId="14" fillId="0" borderId="16" xfId="21" applyFont="true" applyBorder="true" applyAlignment="true" applyProtection="true">
      <alignment horizontal="general" vertical="center" textRotation="0" wrapText="false" indent="0" shrinkToFit="false"/>
      <protection locked="false" hidden="false"/>
    </xf>
    <xf numFmtId="164" fontId="17" fillId="0" borderId="18" xfId="21" applyFont="true" applyBorder="true" applyAlignment="true" applyProtection="false">
      <alignment horizontal="center" vertical="center" textRotation="0" wrapText="false" indent="0" shrinkToFit="false"/>
      <protection locked="true" hidden="false"/>
    </xf>
    <xf numFmtId="164" fontId="14" fillId="0" borderId="16" xfId="21" applyFont="true" applyBorder="true" applyAlignment="true" applyProtection="true">
      <alignment horizontal="general" vertical="center" textRotation="0" wrapText="true" indent="0" shrinkToFit="false"/>
      <protection locked="false" hidden="false"/>
    </xf>
    <xf numFmtId="164" fontId="14" fillId="4" borderId="18" xfId="21" applyFont="true" applyBorder="true" applyAlignment="true" applyProtection="true">
      <alignment horizontal="general" vertical="center" textRotation="0" wrapText="true" indent="0" shrinkToFit="false"/>
      <protection locked="false" hidden="false"/>
    </xf>
    <xf numFmtId="164" fontId="17" fillId="4" borderId="14" xfId="21" applyFont="true" applyBorder="true" applyAlignment="true" applyProtection="false">
      <alignment horizontal="center" vertical="center" textRotation="0" wrapText="false" indent="0" shrinkToFit="false"/>
      <protection locked="true" hidden="false"/>
    </xf>
    <xf numFmtId="168" fontId="17" fillId="4" borderId="18" xfId="21" applyFont="true" applyBorder="true" applyAlignment="true" applyProtection="false">
      <alignment horizontal="center" vertical="center" textRotation="0" wrapText="false" indent="0" shrinkToFit="false"/>
      <protection locked="true" hidden="false"/>
    </xf>
    <xf numFmtId="166" fontId="17" fillId="0" borderId="18" xfId="21" applyFont="true" applyBorder="true" applyAlignment="true" applyProtection="false">
      <alignment horizontal="center" vertical="center" textRotation="0" wrapText="false" indent="0" shrinkToFit="false"/>
      <protection locked="true" hidden="false"/>
    </xf>
    <xf numFmtId="167" fontId="17" fillId="0" borderId="18" xfId="21" applyFont="true" applyBorder="true" applyAlignment="true" applyProtection="false">
      <alignment horizontal="center" vertical="center" textRotation="0" wrapText="false" indent="0" shrinkToFit="false"/>
      <protection locked="true" hidden="false"/>
    </xf>
    <xf numFmtId="165" fontId="17" fillId="4" borderId="18" xfId="21" applyFont="true" applyBorder="true" applyAlignment="true" applyProtection="false">
      <alignment horizontal="center" vertical="center" textRotation="0" wrapText="false" indent="0" shrinkToFit="false"/>
      <protection locked="true" hidden="false"/>
    </xf>
    <xf numFmtId="164" fontId="14" fillId="7" borderId="19" xfId="23" applyFont="true" applyBorder="true" applyAlignment="true" applyProtection="true">
      <alignment horizontal="center" vertical="center" textRotation="90" wrapText="false" indent="0" shrinkToFit="false"/>
      <protection locked="false" hidden="false"/>
    </xf>
    <xf numFmtId="164" fontId="14" fillId="7" borderId="12" xfId="23" applyFont="true" applyBorder="true" applyAlignment="true" applyProtection="true">
      <alignment horizontal="general" vertical="center" textRotation="0" wrapText="false" indent="0" shrinkToFit="false"/>
      <protection locked="false" hidden="false"/>
    </xf>
    <xf numFmtId="164" fontId="20" fillId="8" borderId="13" xfId="0" applyFont="true" applyBorder="true" applyAlignment="true" applyProtection="false">
      <alignment horizontal="center" vertical="center" textRotation="0" wrapText="true" indent="0" shrinkToFit="false" readingOrder="1"/>
      <protection locked="true" hidden="false"/>
    </xf>
    <xf numFmtId="164" fontId="20" fillId="0" borderId="13" xfId="0" applyFont="true" applyBorder="true" applyAlignment="true" applyProtection="false">
      <alignment horizontal="center" vertical="center" textRotation="0" wrapText="true" indent="0" shrinkToFit="false" readingOrder="1"/>
      <protection locked="true" hidden="false"/>
    </xf>
    <xf numFmtId="164" fontId="22" fillId="0" borderId="13" xfId="0" applyFont="true" applyBorder="true" applyAlignment="true" applyProtection="false">
      <alignment horizontal="center" vertical="center" textRotation="0" wrapText="true" indent="0" shrinkToFit="false" readingOrder="1"/>
      <protection locked="true" hidden="false"/>
    </xf>
    <xf numFmtId="165" fontId="17" fillId="0" borderId="18" xfId="21" applyFont="true" applyBorder="true" applyAlignment="true" applyProtection="false">
      <alignment horizontal="center" vertical="center" textRotation="0" wrapText="false" indent="0" shrinkToFit="false"/>
      <protection locked="true" hidden="false"/>
    </xf>
    <xf numFmtId="164" fontId="20" fillId="0" borderId="17" xfId="0" applyFont="true" applyBorder="true" applyAlignment="true" applyProtection="false">
      <alignment horizontal="center" vertical="center" textRotation="0" wrapText="true" indent="0" shrinkToFit="false" readingOrder="1"/>
      <protection locked="true" hidden="false"/>
    </xf>
    <xf numFmtId="164" fontId="22" fillId="0" borderId="20" xfId="0" applyFont="true" applyBorder="true" applyAlignment="true" applyProtection="false">
      <alignment horizontal="center" vertical="center" textRotation="0" wrapText="true" indent="0" shrinkToFit="false" readingOrder="1"/>
      <protection locked="true" hidden="false"/>
    </xf>
    <xf numFmtId="164" fontId="23" fillId="0" borderId="0" xfId="20" applyFont="true" applyBorder="false" applyAlignment="true" applyProtection="true">
      <alignment horizontal="general" vertical="center" textRotation="0" wrapText="false" indent="0" shrinkToFit="false"/>
      <protection locked="false" hidden="false"/>
    </xf>
    <xf numFmtId="168" fontId="17" fillId="0" borderId="18" xfId="21" applyFont="true" applyBorder="true" applyAlignment="true" applyProtection="false">
      <alignment horizontal="center" vertical="center" textRotation="0" wrapText="false" indent="0" shrinkToFit="false"/>
      <protection locked="true" hidden="false"/>
    </xf>
    <xf numFmtId="164" fontId="14" fillId="4" borderId="21" xfId="21" applyFont="true" applyBorder="true" applyAlignment="true" applyProtection="true">
      <alignment horizontal="general" vertical="center" textRotation="0" wrapText="false" indent="0" shrinkToFit="false"/>
      <protection locked="false" hidden="false"/>
    </xf>
    <xf numFmtId="168" fontId="17" fillId="4" borderId="22" xfId="21" applyFont="true" applyBorder="true" applyAlignment="true" applyProtection="false">
      <alignment horizontal="center" vertical="center" textRotation="0" wrapText="false" indent="0" shrinkToFit="false"/>
      <protection locked="true" hidden="false"/>
    </xf>
    <xf numFmtId="164" fontId="14" fillId="4" borderId="23" xfId="21" applyFont="true" applyBorder="true" applyAlignment="true" applyProtection="true">
      <alignment horizontal="general" vertical="center" textRotation="0" wrapText="false" indent="0" shrinkToFit="false"/>
      <protection locked="false" hidden="false"/>
    </xf>
    <xf numFmtId="164" fontId="14" fillId="4" borderId="24" xfId="21" applyFont="true" applyBorder="true" applyAlignment="true" applyProtection="true">
      <alignment horizontal="left" vertical="center" textRotation="0" wrapText="true" indent="0" shrinkToFit="false"/>
      <protection locked="false" hidden="false"/>
    </xf>
    <xf numFmtId="164" fontId="20" fillId="0" borderId="10" xfId="0" applyFont="true" applyBorder="true" applyAlignment="true" applyProtection="false">
      <alignment horizontal="center" vertical="center" textRotation="0" wrapText="true" indent="0" shrinkToFit="false" readingOrder="1"/>
      <protection locked="true" hidden="false"/>
    </xf>
    <xf numFmtId="167" fontId="22" fillId="0" borderId="13" xfId="0" applyFont="true" applyBorder="true" applyAlignment="true" applyProtection="false">
      <alignment horizontal="center" vertical="center" textRotation="0" wrapText="true" indent="0" shrinkToFit="false" readingOrder="1"/>
      <protection locked="true" hidden="false"/>
    </xf>
    <xf numFmtId="164" fontId="7" fillId="4" borderId="0" xfId="21" applyFont="true" applyBorder="false" applyAlignment="true" applyProtection="true">
      <alignment horizontal="general" vertical="center" textRotation="0" wrapText="false" indent="0" shrinkToFit="false"/>
      <protection locked="false" hidden="false"/>
    </xf>
    <xf numFmtId="164" fontId="24" fillId="4" borderId="0" xfId="21" applyFont="true" applyBorder="false" applyAlignment="true" applyProtection="true">
      <alignment horizontal="left" vertical="center" textRotation="0" wrapText="true" indent="0" shrinkToFit="false"/>
      <protection locked="false" hidden="false"/>
    </xf>
    <xf numFmtId="164" fontId="25" fillId="5" borderId="4" xfId="21" applyFont="true" applyBorder="true" applyAlignment="true" applyProtection="true">
      <alignment horizontal="center" vertical="center" textRotation="0" wrapText="false" indent="0" shrinkToFit="false"/>
      <protection locked="false" hidden="false"/>
    </xf>
    <xf numFmtId="164" fontId="26" fillId="9" borderId="25" xfId="21" applyFont="true" applyBorder="true" applyAlignment="true" applyProtection="true">
      <alignment horizontal="left" vertical="center" textRotation="0" wrapText="false" indent="0" shrinkToFit="false"/>
      <protection locked="false" hidden="false"/>
    </xf>
    <xf numFmtId="164" fontId="14" fillId="0" borderId="21" xfId="21" applyFont="true" applyBorder="true" applyAlignment="true" applyProtection="true">
      <alignment horizontal="general" vertical="center" textRotation="0" wrapText="false" indent="0" shrinkToFit="false"/>
      <protection locked="false" hidden="false"/>
    </xf>
    <xf numFmtId="164" fontId="17" fillId="4" borderId="26" xfId="21" applyFont="true" applyBorder="true" applyAlignment="true" applyProtection="false">
      <alignment horizontal="center" vertical="center" textRotation="0" wrapText="false" indent="0" shrinkToFit="false"/>
      <protection locked="true" hidden="false"/>
    </xf>
    <xf numFmtId="167" fontId="17" fillId="0" borderId="14" xfId="21" applyFont="true" applyBorder="true" applyAlignment="true" applyProtection="false">
      <alignment horizontal="center" vertical="center" textRotation="0" wrapText="false" indent="0" shrinkToFit="false"/>
      <protection locked="true" hidden="false"/>
    </xf>
    <xf numFmtId="164" fontId="26" fillId="0" borderId="15" xfId="21" applyFont="true" applyBorder="true" applyAlignment="true" applyProtection="true">
      <alignment horizontal="left" vertical="center" textRotation="0" wrapText="false" indent="0" shrinkToFit="false"/>
      <protection locked="false" hidden="false"/>
    </xf>
    <xf numFmtId="164" fontId="17" fillId="6" borderId="14" xfId="21" applyFont="true" applyBorder="true" applyAlignment="true" applyProtection="true">
      <alignment horizontal="center" vertical="center" textRotation="0" wrapText="false" indent="0" shrinkToFit="false"/>
      <protection locked="false" hidden="false"/>
    </xf>
    <xf numFmtId="164" fontId="14" fillId="4" borderId="15" xfId="21" applyFont="true" applyBorder="true" applyAlignment="true" applyProtection="true">
      <alignment horizontal="left" vertical="center" textRotation="0" wrapText="true" indent="0" shrinkToFit="false"/>
      <protection locked="false" hidden="false"/>
    </xf>
    <xf numFmtId="164" fontId="17" fillId="0" borderId="14" xfId="21" applyFont="true" applyBorder="true" applyAlignment="true" applyProtection="false">
      <alignment horizontal="center" vertical="center" textRotation="0" wrapText="false" indent="0" shrinkToFit="false"/>
      <protection locked="true" hidden="false"/>
    </xf>
    <xf numFmtId="164" fontId="14" fillId="4" borderId="13" xfId="21" applyFont="true" applyBorder="true" applyAlignment="true" applyProtection="true">
      <alignment horizontal="general" vertical="center" textRotation="0" wrapText="false" indent="0" shrinkToFit="false"/>
      <protection locked="false" hidden="false"/>
    </xf>
    <xf numFmtId="164" fontId="14" fillId="0" borderId="12" xfId="21" applyFont="true" applyBorder="true" applyAlignment="true" applyProtection="true">
      <alignment horizontal="general" vertical="center" textRotation="0" wrapText="true" indent="0" shrinkToFit="false"/>
      <protection locked="false" hidden="false"/>
    </xf>
    <xf numFmtId="164" fontId="14" fillId="0" borderId="27" xfId="21" applyFont="true" applyBorder="true" applyAlignment="true" applyProtection="true">
      <alignment horizontal="general" vertical="center" textRotation="0" wrapText="true" indent="0" shrinkToFit="false"/>
      <protection locked="false" hidden="false"/>
    </xf>
    <xf numFmtId="167" fontId="17" fillId="0" borderId="22" xfId="21" applyFont="true" applyBorder="true" applyAlignment="true" applyProtection="false">
      <alignment horizontal="center" vertical="center" textRotation="0" wrapText="false" indent="0" shrinkToFit="false"/>
      <protection locked="true" hidden="false"/>
    </xf>
    <xf numFmtId="164" fontId="14" fillId="4" borderId="28" xfId="21" applyFont="true" applyBorder="true" applyAlignment="true" applyProtection="true">
      <alignment horizontal="left" vertical="center" textRotation="0" wrapText="true" indent="0" shrinkToFit="false"/>
      <protection locked="false" hidden="false"/>
    </xf>
    <xf numFmtId="167" fontId="17" fillId="4" borderId="20" xfId="21" applyFont="true" applyBorder="true" applyAlignment="true" applyProtection="false">
      <alignment horizontal="center" vertical="center" textRotation="0" wrapText="false" indent="0" shrinkToFit="false"/>
      <protection locked="true" hidden="false"/>
    </xf>
    <xf numFmtId="164" fontId="14" fillId="4" borderId="18" xfId="21" applyFont="true" applyBorder="true" applyAlignment="true" applyProtection="false">
      <alignment horizontal="general" vertical="center" textRotation="0" wrapText="false" indent="0" shrinkToFit="false"/>
      <protection locked="true" hidden="false"/>
    </xf>
    <xf numFmtId="164" fontId="14" fillId="4" borderId="15" xfId="21" applyFont="true" applyBorder="true" applyAlignment="true" applyProtection="false">
      <alignment horizontal="left" vertical="center" textRotation="0" wrapText="true" indent="0" shrinkToFit="false"/>
      <protection locked="true" hidden="false"/>
    </xf>
    <xf numFmtId="164" fontId="14" fillId="0" borderId="29" xfId="21" applyFont="true" applyBorder="true" applyAlignment="true" applyProtection="true">
      <alignment horizontal="general" vertical="center" textRotation="0" wrapText="true" indent="0" shrinkToFit="false"/>
      <protection locked="false" hidden="false"/>
    </xf>
    <xf numFmtId="166" fontId="17" fillId="6" borderId="30" xfId="21" applyFont="true" applyBorder="true" applyAlignment="true" applyProtection="true">
      <alignment horizontal="center" vertical="center" textRotation="0" wrapText="false" indent="0" shrinkToFit="false"/>
      <protection locked="false" hidden="false"/>
    </xf>
    <xf numFmtId="164" fontId="14" fillId="4" borderId="31" xfId="21" applyFont="true" applyBorder="true" applyAlignment="true" applyProtection="true">
      <alignment horizontal="general" vertical="center" textRotation="0" wrapText="false" indent="0" shrinkToFit="false"/>
      <protection locked="false" hidden="false"/>
    </xf>
    <xf numFmtId="164" fontId="14" fillId="4" borderId="24" xfId="21" applyFont="true" applyBorder="true" applyAlignment="true" applyProtection="true">
      <alignment horizontal="left" vertical="center" textRotation="0" wrapText="false" indent="0" shrinkToFit="false"/>
      <protection locked="false" hidden="false"/>
    </xf>
    <xf numFmtId="164" fontId="14" fillId="4" borderId="9" xfId="21" applyFont="true" applyBorder="true" applyAlignment="true" applyProtection="true">
      <alignment horizontal="general" vertical="center" textRotation="0" wrapText="false" indent="0" shrinkToFit="false"/>
      <protection locked="false" hidden="false"/>
    </xf>
    <xf numFmtId="164" fontId="17" fillId="4" borderId="32" xfId="21" applyFont="true" applyBorder="true" applyAlignment="true" applyProtection="false">
      <alignment horizontal="center" vertical="center" textRotation="0" wrapText="false" indent="0" shrinkToFit="false"/>
      <protection locked="true" hidden="false"/>
    </xf>
    <xf numFmtId="164" fontId="14" fillId="4" borderId="10" xfId="21" applyFont="true" applyBorder="true" applyAlignment="true" applyProtection="true">
      <alignment horizontal="general" vertical="center" textRotation="0" wrapText="false" indent="0" shrinkToFit="false"/>
      <protection locked="false" hidden="false"/>
    </xf>
    <xf numFmtId="164" fontId="14" fillId="0" borderId="15" xfId="21" applyFont="true" applyBorder="true" applyAlignment="true" applyProtection="true">
      <alignment horizontal="left" vertical="center" textRotation="0" wrapText="true" indent="0" shrinkToFit="false"/>
      <protection locked="false" hidden="false"/>
    </xf>
    <xf numFmtId="164" fontId="14" fillId="4" borderId="11" xfId="21" applyFont="true" applyBorder="true" applyAlignment="true" applyProtection="true">
      <alignment horizontal="general" vertical="center" textRotation="0" wrapText="false" indent="0" shrinkToFit="false"/>
      <protection locked="false" hidden="false"/>
    </xf>
    <xf numFmtId="164" fontId="17" fillId="4" borderId="20" xfId="21" applyFont="true" applyBorder="true" applyAlignment="true" applyProtection="false">
      <alignment horizontal="center" vertical="center" textRotation="0" wrapText="false" indent="0" shrinkToFit="false"/>
      <protection locked="true" hidden="false"/>
    </xf>
    <xf numFmtId="164" fontId="14" fillId="4" borderId="33" xfId="21" applyFont="true" applyBorder="true" applyAlignment="true" applyProtection="true">
      <alignment horizontal="general" vertical="center" textRotation="0" wrapText="true" indent="0" shrinkToFit="false"/>
      <protection locked="false" hidden="false"/>
    </xf>
    <xf numFmtId="164" fontId="14" fillId="4" borderId="15" xfId="21" applyFont="true" applyBorder="true" applyAlignment="true" applyProtection="true">
      <alignment horizontal="general" vertical="center" textRotation="0" wrapText="false" indent="0" shrinkToFit="false"/>
      <protection locked="false" hidden="false"/>
    </xf>
    <xf numFmtId="164" fontId="14" fillId="4" borderId="29" xfId="21" applyFont="true" applyBorder="true" applyAlignment="true" applyProtection="true">
      <alignment horizontal="general" vertical="center" textRotation="0" wrapText="false" indent="0" shrinkToFit="false"/>
      <protection locked="false" hidden="false"/>
    </xf>
    <xf numFmtId="164" fontId="17" fillId="4" borderId="34" xfId="21" applyFont="true" applyBorder="true" applyAlignment="true" applyProtection="false">
      <alignment horizontal="center" vertical="center" textRotation="0" wrapText="false" indent="0" shrinkToFit="false"/>
      <protection locked="true" hidden="false"/>
    </xf>
    <xf numFmtId="164" fontId="14" fillId="4" borderId="30" xfId="21" applyFont="true" applyBorder="true" applyAlignment="true" applyProtection="true">
      <alignment horizontal="general" vertical="center" textRotation="0" wrapText="false" indent="0" shrinkToFit="false"/>
      <protection locked="false" hidden="false"/>
    </xf>
    <xf numFmtId="164" fontId="14" fillId="4" borderId="35" xfId="21" applyFont="true" applyBorder="true" applyAlignment="true" applyProtection="true">
      <alignment horizontal="general" vertical="center" textRotation="0" wrapText="false" indent="0" shrinkToFit="false"/>
      <protection locked="false" hidden="false"/>
    </xf>
    <xf numFmtId="164" fontId="28" fillId="0" borderId="0" xfId="20" applyFont="true" applyBorder="false" applyAlignment="true" applyProtection="true">
      <alignment horizontal="general" vertical="center" textRotation="0" wrapText="false" indent="0" shrinkToFit="false"/>
      <protection locked="false" hidden="false"/>
    </xf>
    <xf numFmtId="166" fontId="17" fillId="4" borderId="26" xfId="21" applyFont="true" applyBorder="true" applyAlignment="true" applyProtection="false">
      <alignment horizontal="center" vertical="center" textRotation="0" wrapText="false" indent="0" shrinkToFit="false"/>
      <protection locked="true" hidden="false"/>
    </xf>
    <xf numFmtId="164" fontId="14" fillId="4" borderId="23" xfId="21" applyFont="true" applyBorder="true" applyAlignment="true" applyProtection="false">
      <alignment horizontal="general" vertical="center" textRotation="0" wrapText="false" indent="0" shrinkToFit="false"/>
      <protection locked="true" hidden="false"/>
    </xf>
    <xf numFmtId="164" fontId="14" fillId="4" borderId="24" xfId="21" applyFont="true" applyBorder="true" applyAlignment="true" applyProtection="false">
      <alignment horizontal="left" vertical="center" textRotation="0" wrapText="true" indent="0" shrinkToFit="false"/>
      <protection locked="true" hidden="false"/>
    </xf>
    <xf numFmtId="164" fontId="14" fillId="0" borderId="33" xfId="21" applyFont="true" applyBorder="true" applyAlignment="true" applyProtection="true">
      <alignment horizontal="left" vertical="center" textRotation="0" wrapText="true" indent="0" shrinkToFit="false"/>
      <protection locked="false" hidden="false"/>
    </xf>
    <xf numFmtId="166" fontId="22" fillId="0" borderId="13" xfId="0" applyFont="true" applyBorder="true" applyAlignment="true" applyProtection="false">
      <alignment horizontal="center" vertical="center" textRotation="0" wrapText="true" indent="0" shrinkToFit="false" readingOrder="1"/>
      <protection locked="true" hidden="false"/>
    </xf>
    <xf numFmtId="164" fontId="14" fillId="4" borderId="24" xfId="21" applyFont="true" applyBorder="true" applyAlignment="true" applyProtection="true">
      <alignment horizontal="general" vertical="center" textRotation="0" wrapText="false" indent="0" shrinkToFit="false"/>
      <protection locked="false" hidden="false"/>
    </xf>
    <xf numFmtId="164" fontId="7" fillId="0" borderId="36" xfId="20" applyFont="true" applyBorder="true" applyAlignment="true" applyProtection="false">
      <alignment horizontal="general" vertical="center" textRotation="0" wrapText="false" indent="0" shrinkToFit="false"/>
      <protection locked="true" hidden="false"/>
    </xf>
    <xf numFmtId="164" fontId="4" fillId="0" borderId="37" xfId="20" applyFont="true" applyBorder="true" applyAlignment="true" applyProtection="false">
      <alignment horizontal="general" vertical="center" textRotation="0" wrapText="false" indent="0" shrinkToFit="false"/>
      <protection locked="true" hidden="false"/>
    </xf>
    <xf numFmtId="164" fontId="7" fillId="0" borderId="38" xfId="20" applyFont="true" applyBorder="true" applyAlignment="true" applyProtection="false">
      <alignment horizontal="general" vertical="center" textRotation="0" wrapText="false" indent="0" shrinkToFit="false"/>
      <protection locked="true" hidden="false"/>
    </xf>
    <xf numFmtId="167" fontId="17" fillId="6" borderId="13" xfId="21" applyFont="true" applyBorder="true" applyAlignment="true" applyProtection="true">
      <alignment horizontal="center" vertical="center" textRotation="0" wrapText="false" indent="0" shrinkToFit="false"/>
      <protection locked="false" hidden="false"/>
    </xf>
    <xf numFmtId="164" fontId="4" fillId="0" borderId="39" xfId="20" applyFont="true" applyBorder="true" applyAlignment="true" applyProtection="false">
      <alignment horizontal="general" vertical="center" textRotation="0" wrapText="false" indent="0" shrinkToFit="false"/>
      <protection locked="true" hidden="false"/>
    </xf>
    <xf numFmtId="164" fontId="4" fillId="0" borderId="15" xfId="20" applyFont="true" applyBorder="true" applyAlignment="true" applyProtection="false">
      <alignment horizontal="general" vertical="center" textRotation="0" wrapText="false" indent="0" shrinkToFit="false"/>
      <protection locked="true" hidden="false"/>
    </xf>
    <xf numFmtId="164" fontId="4" fillId="0" borderId="13" xfId="20" applyFont="true" applyBorder="true" applyAlignment="true" applyProtection="false">
      <alignment horizontal="general" vertical="center" textRotation="0" wrapText="false" indent="0" shrinkToFit="false"/>
      <protection locked="true" hidden="false"/>
    </xf>
    <xf numFmtId="164" fontId="7" fillId="0" borderId="40" xfId="20" applyFont="true" applyBorder="true" applyAlignment="true" applyProtection="false">
      <alignment horizontal="general" vertical="center" textRotation="0" wrapText="false" indent="0" shrinkToFit="false"/>
      <protection locked="true" hidden="false"/>
    </xf>
    <xf numFmtId="167" fontId="17" fillId="6" borderId="31" xfId="21" applyFont="true" applyBorder="true" applyAlignment="true" applyProtection="true">
      <alignment horizontal="center" vertical="center" textRotation="0" wrapText="false" indent="0" shrinkToFit="false"/>
      <protection locked="false" hidden="false"/>
    </xf>
    <xf numFmtId="164" fontId="4" fillId="0" borderId="31" xfId="20" applyFont="true" applyBorder="true" applyAlignment="true" applyProtection="false">
      <alignment horizontal="general" vertical="center" textRotation="0" wrapText="false" indent="0" shrinkToFit="false"/>
      <protection locked="true" hidden="false"/>
    </xf>
    <xf numFmtId="164" fontId="4" fillId="0" borderId="35" xfId="20" applyFont="true" applyBorder="true" applyAlignment="true" applyProtection="false">
      <alignment horizontal="general" vertical="center" textRotation="0" wrapText="false" indent="0" shrinkToFit="false"/>
      <protection locked="true" hidden="false"/>
    </xf>
    <xf numFmtId="164" fontId="14" fillId="0" borderId="41" xfId="21" applyFont="true" applyBorder="true" applyAlignment="true" applyProtection="true">
      <alignment horizontal="general" vertical="center" textRotation="0" wrapText="true" indent="0" shrinkToFit="false"/>
      <protection locked="false" hidden="false"/>
    </xf>
    <xf numFmtId="164" fontId="14" fillId="0" borderId="17" xfId="21" applyFont="true" applyBorder="true" applyAlignment="true" applyProtection="false">
      <alignment horizontal="center" vertical="center" textRotation="0" wrapText="true" indent="0" shrinkToFit="false"/>
      <protection locked="true" hidden="false"/>
    </xf>
    <xf numFmtId="164" fontId="14" fillId="4" borderId="42" xfId="21" applyFont="true" applyBorder="true" applyAlignment="true" applyProtection="true">
      <alignment horizontal="general" vertical="center" textRotation="0" wrapText="false" indent="0" shrinkToFit="false"/>
      <protection locked="false" hidden="false"/>
    </xf>
    <xf numFmtId="164" fontId="14" fillId="4" borderId="14" xfId="21" applyFont="true" applyBorder="true" applyAlignment="true" applyProtection="false">
      <alignment horizontal="general" vertical="center" textRotation="0" wrapText="false" indent="0" shrinkToFit="false"/>
      <protection locked="true" hidden="false"/>
    </xf>
    <xf numFmtId="164" fontId="14" fillId="4" borderId="43" xfId="21" applyFont="true" applyBorder="true" applyAlignment="true" applyProtection="true">
      <alignment horizontal="general" vertical="center" textRotation="0" wrapText="false" indent="0" shrinkToFit="false"/>
      <protection locked="false" hidden="false"/>
    </xf>
    <xf numFmtId="164" fontId="14" fillId="0" borderId="22" xfId="21" applyFont="true" applyBorder="true" applyAlignment="true" applyProtection="false">
      <alignment horizontal="center" vertical="center" textRotation="0" wrapText="true" indent="0" shrinkToFit="false"/>
      <protection locked="true" hidden="false"/>
    </xf>
    <xf numFmtId="164" fontId="14" fillId="4" borderId="22" xfId="21" applyFont="true" applyBorder="true" applyAlignment="true" applyProtection="false">
      <alignment horizontal="general" vertical="center" textRotation="0" wrapText="false" indent="0" shrinkToFit="false"/>
      <protection locked="true" hidden="false"/>
    </xf>
    <xf numFmtId="167" fontId="17" fillId="4" borderId="32" xfId="21" applyFont="true" applyBorder="true" applyAlignment="true" applyProtection="false">
      <alignment horizontal="center" vertical="center" textRotation="0" wrapText="false" indent="0" shrinkToFit="false"/>
      <protection locked="true" hidden="false"/>
    </xf>
    <xf numFmtId="167" fontId="17" fillId="6" borderId="32" xfId="21" applyFont="true" applyBorder="true" applyAlignment="true" applyProtection="false">
      <alignment horizontal="center" vertical="center" textRotation="0" wrapText="false" indent="0" shrinkToFit="false"/>
      <protection locked="true" hidden="false"/>
    </xf>
    <xf numFmtId="167" fontId="17" fillId="6" borderId="44" xfId="21" applyFont="true" applyBorder="true" applyAlignment="true" applyProtection="false">
      <alignment horizontal="center" vertical="center" textRotation="0" wrapText="false" indent="0" shrinkToFit="false"/>
      <protection locked="true" hidden="false"/>
    </xf>
    <xf numFmtId="164" fontId="14" fillId="4" borderId="45" xfId="21" applyFont="true" applyBorder="true" applyAlignment="true" applyProtection="true">
      <alignment horizontal="general" vertical="center" textRotation="0" wrapText="false" indent="0" shrinkToFit="false"/>
      <protection locked="false" hidden="false"/>
    </xf>
    <xf numFmtId="164" fontId="4" fillId="0" borderId="33" xfId="20" applyFont="true" applyBorder="true" applyAlignment="true" applyProtection="false">
      <alignment horizontal="general" vertical="center" textRotation="0" wrapText="false" indent="0" shrinkToFit="false"/>
      <protection locked="true" hidden="false"/>
    </xf>
    <xf numFmtId="167" fontId="17" fillId="4" borderId="26" xfId="21" applyFont="true" applyBorder="true" applyAlignment="true" applyProtection="false">
      <alignment horizontal="center" vertical="center" textRotation="0" wrapText="false" indent="0" shrinkToFit="false"/>
      <protection locked="true" hidden="false"/>
    </xf>
    <xf numFmtId="164" fontId="4" fillId="0" borderId="24" xfId="20" applyFont="true" applyBorder="true" applyAlignment="true" applyProtection="false">
      <alignment horizontal="general" vertical="center" textRotation="0" wrapText="false" indent="0" shrinkToFit="false"/>
      <protection locked="true" hidden="false"/>
    </xf>
    <xf numFmtId="168" fontId="14" fillId="0" borderId="6" xfId="21" applyFont="true" applyBorder="true" applyAlignment="true" applyProtection="false">
      <alignment horizontal="center" vertical="center" textRotation="0" wrapText="true" indent="0" shrinkToFit="false"/>
      <protection locked="true" hidden="false"/>
    </xf>
    <xf numFmtId="168" fontId="14" fillId="0" borderId="13" xfId="21" applyFont="true" applyBorder="true" applyAlignment="true" applyProtection="false">
      <alignment horizontal="center" vertical="center" textRotation="0" wrapText="true" indent="0" shrinkToFit="false"/>
      <protection locked="true" hidden="false"/>
    </xf>
    <xf numFmtId="164" fontId="30" fillId="4" borderId="15" xfId="21" applyFont="true" applyBorder="true" applyAlignment="true" applyProtection="false">
      <alignment horizontal="left" vertical="center" textRotation="0" wrapText="true" indent="0" shrinkToFit="false"/>
      <protection locked="true" hidden="false"/>
    </xf>
    <xf numFmtId="168" fontId="14" fillId="0" borderId="31" xfId="21" applyFont="true" applyBorder="true" applyAlignment="true" applyProtection="false">
      <alignment horizontal="center" vertical="center" textRotation="0" wrapText="true" indent="0" shrinkToFit="false"/>
      <protection locked="true" hidden="false"/>
    </xf>
    <xf numFmtId="164" fontId="4" fillId="0" borderId="35" xfId="20" applyFont="true" applyBorder="true" applyAlignment="true" applyProtection="false">
      <alignment horizontal="general" vertical="center" textRotation="0" wrapText="true" indent="0" shrinkToFit="false"/>
      <protection locked="true" hidden="false"/>
    </xf>
    <xf numFmtId="164" fontId="31" fillId="0" borderId="0" xfId="20" applyFont="true" applyBorder="false" applyAlignment="true" applyProtection="false">
      <alignment horizontal="general" vertical="center" textRotation="0" wrapText="false" indent="0" shrinkToFit="false"/>
      <protection locked="true" hidden="false"/>
    </xf>
    <xf numFmtId="164" fontId="31" fillId="0" borderId="0" xfId="20" applyFont="true" applyBorder="false" applyAlignment="true" applyProtection="false">
      <alignment horizontal="left" vertical="center" textRotation="0" wrapText="fals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2 2" xfId="21"/>
    <cellStyle name="Normal 5" xfId="22"/>
    <cellStyle name="Excel Built-in Good" xfId="23"/>
  </cellStyles>
  <dxfs count="23">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F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F0"/>
        </patternFill>
      </fill>
    </dxf>
  </dxf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C0C0C0"/>
      <rgbColor rgb="FF808080"/>
      <rgbColor rgb="FF9999FF"/>
      <rgbColor rgb="FF993366"/>
      <rgbColor rgb="FFEBF1DE"/>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B0F0"/>
      <rgbColor rgb="FFCCFFFF"/>
      <rgbColor rgb="FFC6EFCE"/>
      <rgbColor rgb="FFFFFF99"/>
      <rgbColor rgb="FF99CCFF"/>
      <rgbColor rgb="FFFF99CC"/>
      <rgbColor rgb="FFCC99FF"/>
      <rgbColor rgb="FFFFCC99"/>
      <rgbColor rgb="FF3366FF"/>
      <rgbColor rgb="FF33CCCC"/>
      <rgbColor rgb="FF92D050"/>
      <rgbColor rgb="FFFFC0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externalLink" Target="externalLinks/externalLink1.xml"/><Relationship Id="rId7" Type="http://schemas.openxmlformats.org/officeDocument/2006/relationships/sharedStrings" Target="sharedStrings.xml"/><Relationship Id="rId8" Type="http://schemas.openxmlformats.org/officeDocument/2006/relationships/customXml" Target="../customXml/item2.xml"/>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5</xdr:col>
      <xdr:colOff>990720</xdr:colOff>
      <xdr:row>6</xdr:row>
      <xdr:rowOff>154080</xdr:rowOff>
    </xdr:from>
    <xdr:to>
      <xdr:col>19</xdr:col>
      <xdr:colOff>75960</xdr:colOff>
      <xdr:row>25</xdr:row>
      <xdr:rowOff>48600</xdr:rowOff>
    </xdr:to>
    <xdr:sp>
      <xdr:nvSpPr>
        <xdr:cNvPr id="1" name="Object 5" hidden="1"/>
        <xdr:cNvSpPr/>
      </xdr:nvSpPr>
      <xdr:spPr>
        <a:xfrm>
          <a:off x="17685360" y="1476720"/>
          <a:ext cx="10976400" cy="4704840"/>
        </a:xfrm>
        <a:prstGeom prst="rect">
          <a:avLst/>
        </a:prstGeom>
        <a:solidFill>
          <a:srgbClr val="ffffff"/>
        </a:solidFill>
        <a:ln w="9525">
          <a:solidFill>
            <a:srgbClr val="000000"/>
          </a:solidFill>
          <a:miter/>
        </a:ln>
      </xdr:spPr>
      <xdr:style>
        <a:lnRef idx="0"/>
        <a:fillRef idx="0"/>
        <a:effectRef idx="0"/>
        <a:fontRef idx="minor"/>
      </xdr:style>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absolute">
    <xdr:from>
      <xdr:col>5</xdr:col>
      <xdr:colOff>1123920</xdr:colOff>
      <xdr:row>6</xdr:row>
      <xdr:rowOff>154080</xdr:rowOff>
    </xdr:from>
    <xdr:to>
      <xdr:col>17</xdr:col>
      <xdr:colOff>561600</xdr:colOff>
      <xdr:row>22</xdr:row>
      <xdr:rowOff>286920</xdr:rowOff>
    </xdr:to>
    <xdr:sp>
      <xdr:nvSpPr>
        <xdr:cNvPr id="2" name="Object 5" hidden="1"/>
        <xdr:cNvSpPr/>
      </xdr:nvSpPr>
      <xdr:spPr>
        <a:xfrm>
          <a:off x="17818560" y="1476720"/>
          <a:ext cx="9435960" cy="4257360"/>
        </a:xfrm>
        <a:prstGeom prst="rect">
          <a:avLst/>
        </a:prstGeom>
        <a:solidFill>
          <a:srgbClr val="ffffff"/>
        </a:solidFill>
        <a:ln w="9525">
          <a:solidFill>
            <a:srgbClr val="000000"/>
          </a:solidFill>
          <a:miter/>
        </a:ln>
      </xdr:spPr>
      <xdr:style>
        <a:lnRef idx="0"/>
        <a:fillRef idx="0"/>
        <a:effectRef idx="0"/>
        <a:fontRef idx="minor"/>
      </xdr:style>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489960</xdr:colOff>
      <xdr:row>8</xdr:row>
      <xdr:rowOff>20880</xdr:rowOff>
    </xdr:from>
    <xdr:to>
      <xdr:col>18</xdr:col>
      <xdr:colOff>421560</xdr:colOff>
      <xdr:row>34</xdr:row>
      <xdr:rowOff>58320</xdr:rowOff>
    </xdr:to>
    <xdr:pic>
      <xdr:nvPicPr>
        <xdr:cNvPr id="3" name="Picture 6"/>
        <xdr:cNvPicPr/>
      </xdr:nvPicPr>
      <xdr:blipFill>
        <a:blip r:embed="rId1"/>
        <a:stretch/>
      </xdr:blipFill>
      <xdr:spPr>
        <a:xfrm>
          <a:off x="17597520" y="1878120"/>
          <a:ext cx="11006640" cy="6132240"/>
        </a:xfrm>
        <a:prstGeom prst="rect">
          <a:avLst/>
        </a:prstGeom>
        <a:noFill/>
        <a:ln w="0">
          <a:noFill/>
        </a:ln>
      </xdr:spPr>
    </xdr:pic>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Users/a0226006/AppData/Local/Microsoft/Windows/INetCache/Content.Outlook/2ZJX7BWR/project-acdc/Project-%20UCC28782/EVM/65W%20Si/sluc664b_ucc28782_65W_for_782_1021.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Input Here"/>
      <sheetName val="Main Calculation"/>
      <sheetName val="Schematic &amp; BoM"/>
      <sheetName val="Secondary Resonance"/>
      <sheetName val="Boost"/>
      <sheetName val="BUR"/>
      <sheetName val="FLT"/>
      <sheetName val="IPC"/>
      <sheetName val="S13"/>
      <sheetName val="XCD"/>
      <sheetName val="OPP"/>
      <sheetName val="2nd Resonance org"/>
      <sheetName val="Burst Mode for USB-PD"/>
      <sheetName val="Hide Calculate"/>
      <sheetName val="RTZ RDM RC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70"/>
  <sheetViews>
    <sheetView showFormulas="false" showGridLines="true" showRowColHeaders="true" showZeros="true" rightToLeft="false" tabSelected="true" showOutlineSymbols="true" defaultGridColor="true" view="normal" topLeftCell="A13" colorId="64" zoomScale="85" zoomScaleNormal="85" zoomScalePageLayoutView="100" workbookViewId="0">
      <selection pane="topLeft" activeCell="E15" activeCellId="0" sqref="E15"/>
    </sheetView>
  </sheetViews>
  <sheetFormatPr defaultColWidth="9.00390625" defaultRowHeight="15" customHeight="false" zeroHeight="false" outlineLevelRow="0" outlineLevelCol="0"/>
  <cols>
    <col collapsed="false" customWidth="true" hidden="false" outlineLevel="0" max="1" min="1" style="1" width="5"/>
    <col collapsed="false" customWidth="true" hidden="false" outlineLevel="0" max="2" min="2" style="1" width="97.71"/>
    <col collapsed="false" customWidth="true" hidden="false" outlineLevel="0" max="3" min="3" style="1" width="49.29"/>
    <col collapsed="false" customWidth="true" hidden="false" outlineLevel="0" max="4" min="4" style="1" width="13.86"/>
    <col collapsed="false" customWidth="true" hidden="false" outlineLevel="0" max="5" min="5" style="1" width="71"/>
    <col collapsed="false" customWidth="true" hidden="false" outlineLevel="0" max="6" min="6" style="1" width="17.86"/>
    <col collapsed="false" customWidth="true" hidden="false" outlineLevel="0" max="7" min="7" style="2" width="36.71"/>
    <col collapsed="false" customWidth="true" hidden="false" outlineLevel="0" max="8" min="8" style="1" width="11"/>
    <col collapsed="false" customWidth="true" hidden="false" outlineLevel="0" max="9" min="9" style="1" width="7.71"/>
    <col collapsed="false" customWidth="true" hidden="false" outlineLevel="0" max="10" min="10" style="1" width="18.29"/>
    <col collapsed="false" customWidth="true" hidden="false" outlineLevel="0" max="13" min="11" style="1" width="7.71"/>
    <col collapsed="false" customWidth="false" hidden="false" outlineLevel="0" max="21" min="14" style="1" width="9"/>
    <col collapsed="false" customWidth="true" hidden="false" outlineLevel="0" max="22" min="22" style="1" width="28.14"/>
    <col collapsed="false" customWidth="true" hidden="false" outlineLevel="0" max="23" min="23" style="1" width="33.42"/>
    <col collapsed="false" customWidth="true" hidden="false" outlineLevel="0" max="24" min="24" style="1" width="8"/>
    <col collapsed="false" customWidth="false" hidden="false" outlineLevel="0" max="16384" min="25" style="1" width="9"/>
  </cols>
  <sheetData>
    <row r="1" customFormat="false" ht="29.15" hidden="false" customHeight="true" outlineLevel="0" collapsed="false">
      <c r="A1" s="3"/>
      <c r="B1" s="4" t="s">
        <v>0</v>
      </c>
      <c r="C1" s="4"/>
      <c r="D1" s="4"/>
      <c r="E1" s="4"/>
      <c r="F1" s="3"/>
      <c r="G1" s="5"/>
      <c r="H1" s="3"/>
      <c r="I1" s="3"/>
      <c r="J1" s="3"/>
      <c r="K1" s="3"/>
      <c r="L1" s="3"/>
      <c r="M1" s="3"/>
      <c r="N1" s="3"/>
      <c r="O1" s="3"/>
      <c r="P1" s="3"/>
      <c r="Q1" s="3"/>
    </row>
    <row r="2" customFormat="false" ht="15" hidden="false" customHeight="false" outlineLevel="0" collapsed="false">
      <c r="A2" s="3"/>
      <c r="B2" s="6" t="s">
        <v>1</v>
      </c>
      <c r="C2" s="6"/>
      <c r="D2" s="6"/>
      <c r="E2" s="6"/>
      <c r="F2" s="3"/>
      <c r="G2" s="5"/>
      <c r="H2" s="3"/>
      <c r="I2" s="3"/>
      <c r="J2" s="3"/>
      <c r="K2" s="3"/>
      <c r="L2" s="3"/>
      <c r="M2" s="3"/>
      <c r="N2" s="3"/>
      <c r="O2" s="3"/>
      <c r="P2" s="3"/>
      <c r="Q2" s="3"/>
    </row>
    <row r="3" customFormat="false" ht="15" hidden="false" customHeight="true" outlineLevel="0" collapsed="false">
      <c r="A3" s="3"/>
      <c r="B3" s="7" t="s">
        <v>2</v>
      </c>
      <c r="C3" s="7"/>
      <c r="D3" s="7"/>
      <c r="E3" s="7"/>
      <c r="F3" s="3"/>
      <c r="G3" s="5"/>
      <c r="H3" s="3"/>
      <c r="I3" s="3"/>
      <c r="J3" s="3"/>
      <c r="K3" s="3"/>
      <c r="L3" s="3"/>
      <c r="M3" s="3"/>
      <c r="N3" s="3"/>
      <c r="O3" s="3"/>
      <c r="P3" s="3"/>
      <c r="Q3" s="3"/>
    </row>
    <row r="4" customFormat="false" ht="15" hidden="false" customHeight="false" outlineLevel="0" collapsed="false">
      <c r="A4" s="8"/>
      <c r="B4" s="7"/>
      <c r="C4" s="7"/>
      <c r="D4" s="7"/>
      <c r="E4" s="7"/>
      <c r="F4" s="3"/>
      <c r="G4" s="5"/>
      <c r="H4" s="3"/>
      <c r="I4" s="3"/>
      <c r="J4" s="3"/>
      <c r="K4" s="3"/>
      <c r="L4" s="3"/>
      <c r="M4" s="3"/>
      <c r="N4" s="3"/>
      <c r="O4" s="3"/>
      <c r="P4" s="3"/>
      <c r="Q4" s="3"/>
    </row>
    <row r="5" customFormat="false" ht="15" hidden="false" customHeight="false" outlineLevel="0" collapsed="false">
      <c r="A5" s="8"/>
      <c r="B5" s="7"/>
      <c r="C5" s="7"/>
      <c r="D5" s="7"/>
      <c r="E5" s="7"/>
      <c r="F5" s="9"/>
      <c r="G5" s="5"/>
      <c r="H5" s="3"/>
      <c r="I5" s="3"/>
      <c r="J5" s="3"/>
      <c r="K5" s="3"/>
      <c r="L5" s="3"/>
      <c r="M5" s="3"/>
      <c r="N5" s="3"/>
      <c r="O5" s="3"/>
      <c r="P5" s="3"/>
      <c r="Q5" s="3"/>
    </row>
    <row r="6" customFormat="false" ht="15" hidden="false" customHeight="false" outlineLevel="0" collapsed="false">
      <c r="A6" s="8"/>
      <c r="B6" s="7"/>
      <c r="C6" s="7"/>
      <c r="D6" s="7"/>
      <c r="E6" s="7"/>
      <c r="F6" s="9"/>
      <c r="G6" s="5"/>
      <c r="H6" s="3"/>
      <c r="I6" s="3"/>
      <c r="J6" s="3"/>
      <c r="K6" s="3"/>
      <c r="L6" s="3"/>
      <c r="M6" s="3"/>
      <c r="N6" s="3"/>
      <c r="O6" s="3"/>
      <c r="P6" s="3"/>
      <c r="Q6" s="3"/>
    </row>
    <row r="7" customFormat="false" ht="24.75" hidden="false" customHeight="true" outlineLevel="0" collapsed="false">
      <c r="A7" s="8"/>
      <c r="B7" s="10" t="s">
        <v>3</v>
      </c>
      <c r="C7" s="10"/>
      <c r="D7" s="10"/>
      <c r="E7" s="10"/>
      <c r="F7" s="9"/>
      <c r="G7" s="5"/>
      <c r="H7" s="3"/>
      <c r="I7" s="3"/>
      <c r="J7" s="3"/>
      <c r="K7" s="3"/>
      <c r="L7" s="3"/>
      <c r="M7" s="3"/>
      <c r="N7" s="3"/>
      <c r="O7" s="3"/>
      <c r="P7" s="3"/>
      <c r="Q7" s="3"/>
    </row>
    <row r="8" customFormat="false" ht="17.35" hidden="false" customHeight="false" outlineLevel="0" collapsed="false">
      <c r="A8" s="8"/>
      <c r="B8" s="11" t="s">
        <v>4</v>
      </c>
      <c r="C8" s="11"/>
      <c r="D8" s="11"/>
      <c r="E8" s="11"/>
      <c r="F8" s="9"/>
      <c r="G8" s="5" t="s">
        <v>5</v>
      </c>
      <c r="H8" s="1" t="n">
        <f aca="false">C24/VDD_COM*1000+I_VDD_COM</f>
        <v>12.04</v>
      </c>
      <c r="I8" s="3" t="s">
        <v>6</v>
      </c>
      <c r="J8" s="3"/>
      <c r="K8" s="3"/>
      <c r="L8" s="3"/>
      <c r="M8" s="3"/>
      <c r="N8" s="3"/>
      <c r="O8" s="3"/>
      <c r="P8" s="3"/>
      <c r="Q8" s="3"/>
    </row>
    <row r="9" customFormat="false" ht="17.15" hidden="false" customHeight="false" outlineLevel="0" collapsed="false">
      <c r="A9" s="8"/>
      <c r="B9" s="12" t="s">
        <v>7</v>
      </c>
      <c r="C9" s="12"/>
      <c r="D9" s="12"/>
      <c r="E9" s="12"/>
      <c r="F9" s="9"/>
      <c r="G9" s="5" t="s">
        <v>8</v>
      </c>
      <c r="H9" s="13" t="n">
        <f aca="false">C26</f>
        <v>11.04</v>
      </c>
      <c r="I9" s="3" t="s">
        <v>6</v>
      </c>
      <c r="J9" s="3"/>
      <c r="K9" s="3"/>
      <c r="L9" s="3"/>
      <c r="M9" s="3"/>
      <c r="N9" s="3"/>
      <c r="O9" s="3"/>
      <c r="P9" s="3"/>
      <c r="Q9" s="3"/>
    </row>
    <row r="10" customFormat="false" ht="33" hidden="false" customHeight="true" outlineLevel="0" collapsed="false">
      <c r="A10" s="8"/>
      <c r="B10" s="14" t="s">
        <v>9</v>
      </c>
      <c r="C10" s="14"/>
      <c r="D10" s="14"/>
      <c r="E10" s="14"/>
      <c r="F10" s="3"/>
      <c r="G10" s="15" t="s">
        <v>10</v>
      </c>
      <c r="H10" s="13" t="n">
        <f aca="false">H8+H9*COM_VEE/VDD_COM/0.7</f>
        <v>17.2971428571429</v>
      </c>
      <c r="I10" s="3" t="s">
        <v>6</v>
      </c>
      <c r="J10" s="3"/>
      <c r="K10" s="3"/>
      <c r="L10" s="3"/>
      <c r="M10" s="3"/>
      <c r="N10" s="3"/>
      <c r="O10" s="3"/>
      <c r="P10" s="3"/>
      <c r="Q10" s="3"/>
    </row>
    <row r="11" customFormat="false" ht="15" hidden="false" customHeight="false" outlineLevel="0" collapsed="false">
      <c r="A11" s="8"/>
      <c r="B11" s="16" t="s">
        <v>11</v>
      </c>
      <c r="C11" s="16"/>
      <c r="D11" s="16"/>
      <c r="E11" s="16"/>
      <c r="F11" s="3"/>
      <c r="G11" s="5"/>
      <c r="H11" s="3"/>
      <c r="I11" s="3"/>
      <c r="J11" s="3"/>
      <c r="K11" s="3"/>
      <c r="L11" s="3"/>
      <c r="M11" s="3"/>
      <c r="N11" s="3"/>
      <c r="O11" s="3"/>
      <c r="P11" s="3"/>
      <c r="Q11" s="3"/>
    </row>
    <row r="12" customFormat="false" ht="15" hidden="false" customHeight="false" outlineLevel="0" collapsed="false">
      <c r="A12" s="8"/>
      <c r="B12" s="16"/>
      <c r="C12" s="16"/>
      <c r="D12" s="16"/>
      <c r="E12" s="16"/>
      <c r="F12" s="3"/>
      <c r="G12" s="5" t="s">
        <v>12</v>
      </c>
      <c r="H12" s="3"/>
      <c r="I12" s="3"/>
      <c r="J12" s="3"/>
      <c r="K12" s="3"/>
      <c r="L12" s="3"/>
      <c r="M12" s="3"/>
      <c r="N12" s="3"/>
      <c r="O12" s="3"/>
      <c r="P12" s="3"/>
      <c r="Q12" s="3"/>
    </row>
    <row r="13" customFormat="false" ht="20.25" hidden="false" customHeight="true" outlineLevel="0" collapsed="false">
      <c r="A13" s="8"/>
      <c r="B13" s="17" t="s">
        <v>13</v>
      </c>
      <c r="C13" s="18" t="n">
        <v>15</v>
      </c>
      <c r="D13" s="19" t="s">
        <v>14</v>
      </c>
      <c r="E13" s="20" t="s">
        <v>15</v>
      </c>
      <c r="F13" s="3"/>
      <c r="G13" s="5"/>
      <c r="H13" s="3"/>
      <c r="I13" s="3"/>
      <c r="J13" s="3"/>
      <c r="K13" s="3"/>
      <c r="L13" s="3"/>
      <c r="M13" s="3"/>
      <c r="N13" s="3"/>
      <c r="O13" s="3"/>
      <c r="P13" s="3"/>
      <c r="Q13" s="3"/>
    </row>
    <row r="14" customFormat="false" ht="15" hidden="false" customHeight="false" outlineLevel="0" collapsed="false">
      <c r="A14" s="8"/>
      <c r="B14" s="21" t="s">
        <v>16</v>
      </c>
      <c r="C14" s="22" t="n">
        <v>5</v>
      </c>
      <c r="D14" s="23" t="s">
        <v>14</v>
      </c>
      <c r="E14" s="20" t="s">
        <v>17</v>
      </c>
      <c r="F14" s="3"/>
      <c r="G14" s="5"/>
      <c r="H14" s="3"/>
      <c r="I14" s="3"/>
      <c r="J14" s="3"/>
      <c r="K14" s="3"/>
      <c r="L14" s="3"/>
      <c r="M14" s="3"/>
      <c r="N14" s="3"/>
      <c r="O14" s="3"/>
      <c r="P14" s="3"/>
      <c r="Q14" s="3"/>
    </row>
    <row r="15" customFormat="false" ht="20.25" hidden="false" customHeight="true" outlineLevel="0" collapsed="false">
      <c r="A15" s="8"/>
      <c r="B15" s="24" t="s">
        <v>18</v>
      </c>
      <c r="C15" s="25" t="n">
        <v>0.67</v>
      </c>
      <c r="D15" s="26" t="s">
        <v>19</v>
      </c>
      <c r="E15" s="27"/>
      <c r="F15" s="3"/>
      <c r="G15" s="5"/>
      <c r="H15" s="3"/>
      <c r="I15" s="3"/>
      <c r="J15" s="3"/>
      <c r="K15" s="3"/>
      <c r="L15" s="3"/>
      <c r="M15" s="3"/>
      <c r="N15" s="3"/>
      <c r="O15" s="3"/>
      <c r="P15" s="3"/>
      <c r="Q15" s="3"/>
    </row>
    <row r="16" customFormat="false" ht="20.25" hidden="false" customHeight="true" outlineLevel="0" collapsed="false">
      <c r="A16" s="8"/>
      <c r="B16" s="28" t="s">
        <v>20</v>
      </c>
      <c r="C16" s="29" t="n">
        <v>12</v>
      </c>
      <c r="D16" s="30" t="s">
        <v>21</v>
      </c>
      <c r="E16" s="31"/>
      <c r="F16" s="3"/>
      <c r="G16" s="5"/>
      <c r="H16" s="3"/>
      <c r="I16" s="3"/>
      <c r="J16" s="3"/>
      <c r="K16" s="3"/>
      <c r="L16" s="3"/>
      <c r="M16" s="3"/>
      <c r="N16" s="3"/>
      <c r="O16" s="3"/>
      <c r="P16" s="3"/>
      <c r="Q16" s="3"/>
    </row>
    <row r="17" customFormat="false" ht="18" hidden="false" customHeight="true" outlineLevel="0" collapsed="false">
      <c r="A17" s="8"/>
      <c r="B17" s="28" t="s">
        <v>22</v>
      </c>
      <c r="C17" s="32" t="n">
        <v>4</v>
      </c>
      <c r="D17" s="30" t="s">
        <v>6</v>
      </c>
      <c r="E17" s="20" t="s">
        <v>23</v>
      </c>
      <c r="F17" s="3"/>
      <c r="G17" s="5"/>
      <c r="H17" s="3"/>
      <c r="I17" s="3"/>
      <c r="J17" s="3"/>
      <c r="K17" s="3"/>
      <c r="L17" s="3"/>
      <c r="M17" s="3"/>
      <c r="N17" s="3"/>
      <c r="O17" s="3"/>
      <c r="P17" s="3"/>
      <c r="Q17" s="3"/>
    </row>
    <row r="18" customFormat="false" ht="20.25" hidden="false" customHeight="true" outlineLevel="0" collapsed="false">
      <c r="A18" s="8"/>
      <c r="B18" s="33" t="s">
        <v>24</v>
      </c>
      <c r="C18" s="32" t="n">
        <v>0</v>
      </c>
      <c r="D18" s="30" t="s">
        <v>6</v>
      </c>
      <c r="E18" s="31"/>
      <c r="F18" s="3"/>
      <c r="J18" s="3"/>
      <c r="K18" s="3"/>
      <c r="L18" s="3"/>
      <c r="M18" s="3"/>
      <c r="N18" s="3"/>
      <c r="O18" s="3"/>
      <c r="P18" s="3"/>
      <c r="Q18" s="3"/>
    </row>
    <row r="19" customFormat="false" ht="20.25" hidden="false" customHeight="true" outlineLevel="0" collapsed="false">
      <c r="A19" s="8"/>
      <c r="B19" s="33" t="s">
        <v>25</v>
      </c>
      <c r="C19" s="32" t="n">
        <v>3</v>
      </c>
      <c r="D19" s="30" t="s">
        <v>6</v>
      </c>
      <c r="E19" s="20" t="s">
        <v>23</v>
      </c>
      <c r="F19" s="3"/>
      <c r="J19" s="3"/>
      <c r="K19" s="3"/>
      <c r="L19" s="3"/>
      <c r="M19" s="3"/>
      <c r="N19" s="3"/>
      <c r="O19" s="3"/>
      <c r="P19" s="3"/>
      <c r="Q19" s="3"/>
    </row>
    <row r="20" customFormat="false" ht="20.25" hidden="false" customHeight="true" outlineLevel="0" collapsed="false">
      <c r="A20" s="8"/>
      <c r="B20" s="33" t="s">
        <v>26</v>
      </c>
      <c r="C20" s="34" t="n">
        <f aca="false">IQ_DRIVER_VDD+IQ_OTHER_VDD</f>
        <v>4</v>
      </c>
      <c r="D20" s="30" t="s">
        <v>6</v>
      </c>
      <c r="E20" s="31"/>
      <c r="F20" s="3"/>
      <c r="J20" s="3"/>
      <c r="K20" s="3"/>
      <c r="L20" s="3"/>
      <c r="M20" s="3"/>
      <c r="N20" s="3"/>
      <c r="O20" s="3"/>
      <c r="P20" s="3"/>
      <c r="Q20" s="3"/>
    </row>
    <row r="21" customFormat="false" ht="20.25" hidden="false" customHeight="true" outlineLevel="0" collapsed="false">
      <c r="A21" s="8"/>
      <c r="B21" s="28" t="s">
        <v>27</v>
      </c>
      <c r="C21" s="32" t="n">
        <v>10</v>
      </c>
      <c r="D21" s="30" t="s">
        <v>28</v>
      </c>
      <c r="E21" s="31"/>
      <c r="F21" s="3"/>
      <c r="G21" s="5"/>
      <c r="H21" s="3"/>
      <c r="I21" s="3"/>
      <c r="J21" s="3"/>
      <c r="K21" s="3"/>
      <c r="L21" s="3"/>
      <c r="M21" s="3"/>
      <c r="N21" s="3"/>
      <c r="O21" s="3"/>
      <c r="P21" s="3"/>
      <c r="Q21" s="3"/>
    </row>
    <row r="22" customFormat="false" ht="19.5" hidden="false" customHeight="true" outlineLevel="0" collapsed="false">
      <c r="A22" s="8"/>
      <c r="B22" s="35" t="s">
        <v>29</v>
      </c>
      <c r="C22" s="32" t="n">
        <v>1</v>
      </c>
      <c r="D22" s="36" t="s">
        <v>30</v>
      </c>
      <c r="E22" s="31" t="s">
        <v>31</v>
      </c>
      <c r="F22" s="3"/>
      <c r="G22" s="5"/>
      <c r="H22" s="3"/>
      <c r="I22" s="3"/>
      <c r="J22" s="3"/>
      <c r="K22" s="3"/>
      <c r="L22" s="3"/>
      <c r="M22" s="3"/>
      <c r="N22" s="3"/>
      <c r="O22" s="3"/>
      <c r="P22" s="3"/>
      <c r="Q22" s="3"/>
    </row>
    <row r="23" customFormat="false" ht="19.5" hidden="false" customHeight="true" outlineLevel="0" collapsed="false">
      <c r="A23" s="8"/>
      <c r="B23" s="35" t="s">
        <v>32</v>
      </c>
      <c r="C23" s="32" t="n">
        <v>5</v>
      </c>
      <c r="D23" s="36" t="s">
        <v>30</v>
      </c>
      <c r="E23" s="31" t="s">
        <v>33</v>
      </c>
      <c r="F23" s="3"/>
      <c r="G23" s="5"/>
      <c r="H23" s="3"/>
      <c r="I23" s="3"/>
      <c r="J23" s="3"/>
      <c r="K23" s="3"/>
      <c r="L23" s="3"/>
      <c r="M23" s="3"/>
      <c r="N23" s="3"/>
      <c r="O23" s="3"/>
      <c r="P23" s="3"/>
      <c r="Q23" s="3"/>
    </row>
    <row r="24" customFormat="false" ht="20.25" hidden="false" customHeight="true" outlineLevel="0" collapsed="false">
      <c r="A24" s="8"/>
      <c r="B24" s="24" t="s">
        <v>34</v>
      </c>
      <c r="C24" s="37" t="n">
        <f aca="false">(Qgtot*0.000001*VDD_COM*fsw*1000)</f>
        <v>0.1206</v>
      </c>
      <c r="D24" s="26" t="s">
        <v>35</v>
      </c>
      <c r="E24" s="27"/>
      <c r="F24" s="3"/>
      <c r="G24" s="5"/>
      <c r="H24" s="3"/>
      <c r="I24" s="3"/>
      <c r="J24" s="3"/>
      <c r="K24" s="3"/>
      <c r="L24" s="3"/>
      <c r="M24" s="3"/>
      <c r="N24" s="3"/>
      <c r="O24" s="3"/>
      <c r="P24" s="3"/>
      <c r="Q24" s="3"/>
    </row>
    <row r="25" customFormat="false" ht="22.5" hidden="false" customHeight="true" outlineLevel="0" collapsed="false">
      <c r="A25" s="8"/>
      <c r="B25" s="24" t="s">
        <v>36</v>
      </c>
      <c r="C25" s="38" t="n">
        <f aca="false">(Qgtot*0.000001*COM_VEE*fsw*1000)</f>
        <v>0.0402</v>
      </c>
      <c r="D25" s="30" t="s">
        <v>35</v>
      </c>
      <c r="E25" s="20"/>
      <c r="F25" s="3"/>
      <c r="G25" s="5"/>
      <c r="H25" s="3"/>
      <c r="I25" s="3"/>
      <c r="J25" s="3"/>
      <c r="K25" s="3"/>
      <c r="L25" s="3"/>
      <c r="M25" s="3"/>
      <c r="N25" s="3"/>
      <c r="O25" s="3"/>
      <c r="P25" s="3"/>
      <c r="Q25" s="3"/>
    </row>
    <row r="26" customFormat="false" ht="28.5" hidden="false" customHeight="true" outlineLevel="0" collapsed="false">
      <c r="A26" s="8"/>
      <c r="B26" s="24" t="s">
        <v>37</v>
      </c>
      <c r="C26" s="39" t="n">
        <f aca="false">C25/COM_VEE*1000+IQ_VEE</f>
        <v>11.04</v>
      </c>
      <c r="D26" s="30" t="s">
        <v>6</v>
      </c>
      <c r="E26" s="20" t="s">
        <v>38</v>
      </c>
      <c r="F26" s="3"/>
      <c r="G26" s="5"/>
      <c r="H26" s="3"/>
      <c r="I26" s="3"/>
      <c r="J26" s="3"/>
      <c r="K26" s="3"/>
      <c r="L26" s="3"/>
      <c r="M26" s="3"/>
      <c r="N26" s="3"/>
      <c r="O26" s="3"/>
      <c r="P26" s="3"/>
      <c r="Q26" s="3"/>
    </row>
    <row r="27" customFormat="false" ht="27" hidden="false" customHeight="true" outlineLevel="0" collapsed="false">
      <c r="A27" s="8"/>
      <c r="B27" s="24" t="s">
        <v>39</v>
      </c>
      <c r="C27" s="40" t="n">
        <f aca="false">(IF(COM_VEE&gt;5,63.5-(COM_VEE-5)*(63.5-42)/(8-5),63.5+(5-COM_VEE)*(91-63.5)/(5-2))-(18-VDD_COM)*(73-69)/(20-15))*0.87</f>
        <v>53.157</v>
      </c>
      <c r="D27" s="30" t="s">
        <v>6</v>
      </c>
      <c r="E27" s="20" t="s">
        <v>40</v>
      </c>
      <c r="F27" s="3"/>
      <c r="K27" s="3"/>
      <c r="L27" s="3"/>
      <c r="M27" s="3"/>
      <c r="N27" s="3"/>
      <c r="O27" s="3"/>
      <c r="P27" s="3"/>
      <c r="Q27" s="3"/>
    </row>
    <row r="28" customFormat="false" ht="27" hidden="false" customHeight="true" outlineLevel="0" collapsed="false">
      <c r="A28" s="8"/>
      <c r="B28" s="24" t="s">
        <v>41</v>
      </c>
      <c r="C28" s="32" t="n">
        <v>3.3</v>
      </c>
      <c r="D28" s="30" t="s">
        <v>42</v>
      </c>
      <c r="E28" s="20"/>
      <c r="F28" s="3"/>
      <c r="K28" s="3"/>
      <c r="L28" s="3"/>
      <c r="M28" s="3"/>
      <c r="N28" s="3"/>
      <c r="O28" s="3"/>
      <c r="P28" s="3"/>
      <c r="Q28" s="3"/>
    </row>
    <row r="29" customFormat="false" ht="27" hidden="false" customHeight="true" outlineLevel="0" collapsed="false">
      <c r="A29" s="8"/>
      <c r="B29" s="24" t="s">
        <v>43</v>
      </c>
      <c r="C29" s="41" t="n">
        <f aca="false">1/((C28*(C13/C28*23.7+(-6.675*C13+261.35))/C13)+(C28*(C13/C28*23.7+(-6.675*C13+261.35))/C14)+((-(-21))/(C14/C28)+22.2+14.3+(-(-21-C14/C28*22.2))/(C13/C28)))*1000</f>
        <v>3.34383296885554</v>
      </c>
      <c r="D29" s="30" t="s">
        <v>44</v>
      </c>
      <c r="E29" s="20"/>
      <c r="F29" s="3"/>
      <c r="K29" s="3"/>
      <c r="L29" s="3"/>
      <c r="M29" s="3"/>
      <c r="N29" s="3"/>
      <c r="O29" s="3"/>
      <c r="P29" s="3"/>
      <c r="Q29" s="3"/>
    </row>
    <row r="30" customFormat="false" ht="27" hidden="false" customHeight="true" outlineLevel="0" collapsed="false">
      <c r="A30" s="42" t="s">
        <v>45</v>
      </c>
      <c r="B30" s="43" t="s">
        <v>46</v>
      </c>
      <c r="C30" s="32" t="n">
        <v>0.2</v>
      </c>
      <c r="D30" s="30" t="s">
        <v>47</v>
      </c>
      <c r="E30" s="20" t="s">
        <v>48</v>
      </c>
      <c r="F30" s="3"/>
      <c r="K30" s="3"/>
      <c r="L30" s="3"/>
      <c r="M30" s="3"/>
      <c r="N30" s="3"/>
      <c r="O30" s="3"/>
      <c r="P30" s="3"/>
      <c r="Q30" s="3"/>
    </row>
    <row r="31" customFormat="false" ht="27" hidden="false" customHeight="true" outlineLevel="0" collapsed="false">
      <c r="A31" s="42"/>
      <c r="B31" s="43" t="s">
        <v>49</v>
      </c>
      <c r="C31" s="32" t="n">
        <v>1.393</v>
      </c>
      <c r="D31" s="30" t="s">
        <v>47</v>
      </c>
      <c r="E31" s="20" t="s">
        <v>48</v>
      </c>
      <c r="F31" s="3"/>
      <c r="G31" s="44" t="s">
        <v>50</v>
      </c>
      <c r="H31" s="44" t="s">
        <v>51</v>
      </c>
      <c r="I31" s="44" t="s">
        <v>52</v>
      </c>
      <c r="K31" s="3"/>
      <c r="L31" s="3"/>
      <c r="M31" s="3"/>
      <c r="N31" s="3"/>
      <c r="O31" s="3"/>
      <c r="P31" s="3"/>
      <c r="Q31" s="3"/>
    </row>
    <row r="32" customFormat="false" ht="27" hidden="false" customHeight="true" outlineLevel="0" collapsed="false">
      <c r="A32" s="42"/>
      <c r="B32" s="43" t="s">
        <v>53</v>
      </c>
      <c r="C32" s="32" t="n">
        <v>3400</v>
      </c>
      <c r="D32" s="30" t="s">
        <v>47</v>
      </c>
      <c r="E32" s="20" t="s">
        <v>54</v>
      </c>
      <c r="F32" s="3"/>
      <c r="G32" s="45" t="s">
        <v>55</v>
      </c>
      <c r="H32" s="46" t="s">
        <v>56</v>
      </c>
      <c r="I32" s="46" t="s">
        <v>57</v>
      </c>
      <c r="K32" s="3"/>
      <c r="L32" s="3"/>
      <c r="M32" s="3"/>
      <c r="N32" s="3"/>
      <c r="O32" s="3"/>
      <c r="P32" s="3"/>
      <c r="Q32" s="3"/>
    </row>
    <row r="33" customFormat="false" ht="27" hidden="false" customHeight="true" outlineLevel="0" collapsed="false">
      <c r="A33" s="42"/>
      <c r="B33" s="43" t="s">
        <v>58</v>
      </c>
      <c r="C33" s="32" t="n">
        <v>100</v>
      </c>
      <c r="D33" s="30" t="s">
        <v>59</v>
      </c>
      <c r="E33" s="20" t="s">
        <v>60</v>
      </c>
      <c r="F33" s="3"/>
      <c r="G33" s="45" t="s">
        <v>61</v>
      </c>
      <c r="H33" s="46" t="s">
        <v>56</v>
      </c>
      <c r="I33" s="46" t="s">
        <v>57</v>
      </c>
      <c r="K33" s="3"/>
      <c r="L33" s="3"/>
      <c r="M33" s="3"/>
      <c r="N33" s="3"/>
      <c r="O33" s="3"/>
      <c r="P33" s="3"/>
      <c r="Q33" s="3"/>
    </row>
    <row r="34" customFormat="false" ht="27" hidden="false" customHeight="true" outlineLevel="0" collapsed="false">
      <c r="A34" s="42"/>
      <c r="B34" s="43" t="s">
        <v>62</v>
      </c>
      <c r="C34" s="47" t="n">
        <f aca="false">(1+0.004*(C33-20))*C30</f>
        <v>0.264</v>
      </c>
      <c r="D34" s="30" t="s">
        <v>47</v>
      </c>
      <c r="E34" s="20" t="s">
        <v>63</v>
      </c>
      <c r="F34" s="3"/>
      <c r="G34" s="45" t="s">
        <v>64</v>
      </c>
      <c r="H34" s="46" t="n">
        <f aca="false">C50</f>
        <v>6.8</v>
      </c>
      <c r="I34" s="46" t="s">
        <v>57</v>
      </c>
      <c r="K34" s="3"/>
      <c r="L34" s="3"/>
      <c r="M34" s="3"/>
      <c r="N34" s="3"/>
      <c r="O34" s="3"/>
      <c r="P34" s="3"/>
      <c r="Q34" s="3"/>
    </row>
    <row r="35" customFormat="false" ht="27" hidden="false" customHeight="true" outlineLevel="0" collapsed="false">
      <c r="A35" s="42"/>
      <c r="B35" s="43" t="s">
        <v>65</v>
      </c>
      <c r="C35" s="47" t="n">
        <f aca="false">(1+0.004*(C33-20))*C31</f>
        <v>1.83876</v>
      </c>
      <c r="D35" s="30" t="s">
        <v>47</v>
      </c>
      <c r="E35" s="20" t="s">
        <v>63</v>
      </c>
      <c r="F35" s="3"/>
      <c r="G35" s="45" t="s">
        <v>66</v>
      </c>
      <c r="H35" s="46" t="n">
        <f aca="false">C64</f>
        <v>2.2</v>
      </c>
      <c r="I35" s="46" t="s">
        <v>57</v>
      </c>
      <c r="K35" s="3"/>
      <c r="L35" s="3"/>
      <c r="M35" s="3"/>
      <c r="N35" s="3"/>
      <c r="O35" s="3"/>
      <c r="P35" s="3"/>
      <c r="Q35" s="3"/>
    </row>
    <row r="36" customFormat="false" ht="27" hidden="false" customHeight="true" outlineLevel="0" collapsed="false">
      <c r="A36" s="42"/>
      <c r="B36" s="43" t="s">
        <v>67</v>
      </c>
      <c r="C36" s="47" t="n">
        <f aca="false">((((C13/C28*23.7+(-6.675*C13+261.35))+(-21-C14/C28*22.2))/2)/1000)^2*C34*1000</f>
        <v>3.03146638670455</v>
      </c>
      <c r="D36" s="30" t="s">
        <v>68</v>
      </c>
      <c r="E36" s="20"/>
      <c r="F36" s="3"/>
      <c r="G36" s="45" t="s">
        <v>69</v>
      </c>
      <c r="H36" s="46" t="n">
        <f aca="false">C52</f>
        <v>6.8</v>
      </c>
      <c r="I36" s="46" t="s">
        <v>57</v>
      </c>
      <c r="K36" s="3"/>
      <c r="L36" s="3"/>
      <c r="M36" s="3"/>
      <c r="N36" s="3"/>
      <c r="O36" s="3"/>
      <c r="P36" s="3"/>
      <c r="Q36" s="3"/>
    </row>
    <row r="37" customFormat="false" ht="27" hidden="false" customHeight="true" outlineLevel="0" collapsed="false">
      <c r="A37" s="42"/>
      <c r="B37" s="43" t="s">
        <v>70</v>
      </c>
      <c r="C37" s="47" t="n">
        <f aca="false">((((C13/C28*23.7+141.2)-(-21-C14/C28*22.2))/2/SQRT(3))/1000)^2*C35*1000</f>
        <v>14.1202795450182</v>
      </c>
      <c r="D37" s="30" t="s">
        <v>68</v>
      </c>
      <c r="E37" s="20"/>
      <c r="F37" s="3"/>
      <c r="G37" s="45" t="s">
        <v>71</v>
      </c>
      <c r="H37" s="46" t="n">
        <f aca="false">C65</f>
        <v>220</v>
      </c>
      <c r="I37" s="46" t="s">
        <v>72</v>
      </c>
      <c r="K37" s="3"/>
      <c r="L37" s="3"/>
      <c r="M37" s="3"/>
      <c r="N37" s="3"/>
      <c r="O37" s="3"/>
      <c r="P37" s="3"/>
      <c r="Q37" s="3"/>
    </row>
    <row r="38" customFormat="false" ht="27" hidden="false" customHeight="true" outlineLevel="0" collapsed="false">
      <c r="A38" s="42"/>
      <c r="B38" s="43" t="s">
        <v>73</v>
      </c>
      <c r="C38" s="47" t="n">
        <f aca="false">(C13^2/C32*(((C28*(C13/C28*23.7+(-6.675*C13+261.35))/C13)+15+15)/(((C28*(C13/C28*23.7+(-6.675*C13+261.35))/C13)+15+15)+((C28*(C13/C28*23.7+(-6.675*C13+261.35))/C14)+30)))+C14^2/C32*(1-(((C28*(C13/C28*23.7+(-6.675*C13+261.35))/C13)+15+15)/(((C28*(C13/C28*23.7+(-6.675*C13+261.35))/C13)+15+15)+((C28*(C13/C28*23.7+(-6.675*C13+261.35))/C14)+30)))))*1000</f>
        <v>25.0329333089589</v>
      </c>
      <c r="D38" s="30" t="s">
        <v>68</v>
      </c>
      <c r="E38" s="20"/>
      <c r="F38" s="3"/>
      <c r="G38" s="45" t="s">
        <v>74</v>
      </c>
      <c r="H38" s="46" t="n">
        <f aca="false">C66</f>
        <v>10</v>
      </c>
      <c r="I38" s="46" t="s">
        <v>72</v>
      </c>
      <c r="K38" s="3"/>
      <c r="L38" s="3"/>
      <c r="M38" s="3"/>
      <c r="N38" s="3"/>
      <c r="O38" s="3"/>
      <c r="P38" s="3"/>
      <c r="Q38" s="3"/>
    </row>
    <row r="39" customFormat="false" ht="27" hidden="false" customHeight="true" outlineLevel="0" collapsed="false">
      <c r="A39" s="42"/>
      <c r="B39" s="43" t="s">
        <v>75</v>
      </c>
      <c r="C39" s="47" t="n">
        <f aca="false">C36+C37+C38</f>
        <v>42.1846792406816</v>
      </c>
      <c r="D39" s="30" t="s">
        <v>68</v>
      </c>
      <c r="E39" s="20" t="s">
        <v>76</v>
      </c>
      <c r="F39" s="3"/>
      <c r="G39" s="48" t="s">
        <v>77</v>
      </c>
      <c r="H39" s="46" t="n">
        <v>0.1</v>
      </c>
      <c r="I39" s="46" t="s">
        <v>57</v>
      </c>
      <c r="K39" s="3"/>
      <c r="L39" s="3"/>
      <c r="M39" s="3"/>
      <c r="N39" s="3"/>
      <c r="O39" s="3"/>
      <c r="P39" s="3"/>
      <c r="Q39" s="3"/>
    </row>
    <row r="40" customFormat="false" ht="23.25" hidden="false" customHeight="true" outlineLevel="0" collapsed="false">
      <c r="A40" s="8"/>
      <c r="B40" s="24" t="s">
        <v>78</v>
      </c>
      <c r="C40" s="38" t="n">
        <f aca="false">C24+C25/((C26*COM_VEE)/((C26*COM_VEE)/0.82+C39))</f>
        <v>0.200345841430051</v>
      </c>
      <c r="D40" s="30" t="s">
        <v>35</v>
      </c>
      <c r="E40" s="31"/>
      <c r="F40" s="3"/>
      <c r="G40" s="45" t="s">
        <v>79</v>
      </c>
      <c r="H40" s="49" t="n">
        <v>1</v>
      </c>
      <c r="I40" s="46" t="s">
        <v>57</v>
      </c>
      <c r="J40" s="50" t="s">
        <v>80</v>
      </c>
      <c r="K40" s="3"/>
      <c r="L40" s="3"/>
      <c r="M40" s="3"/>
      <c r="N40" s="3"/>
      <c r="O40" s="3"/>
      <c r="P40" s="3"/>
      <c r="Q40" s="3"/>
    </row>
    <row r="41" customFormat="false" ht="20.25" hidden="false" customHeight="true" outlineLevel="0" collapsed="false">
      <c r="A41" s="8"/>
      <c r="B41" s="28" t="s">
        <v>81</v>
      </c>
      <c r="C41" s="51" t="n">
        <f aca="false">VDD_COM*I_VDD_COM/1000+COM_VEE*IQ_VEE/1000/((C26*COM_VEE)/((C26*COM_VEE)/0.82+C39))</f>
        <v>0.0897559109813623</v>
      </c>
      <c r="D41" s="30" t="s">
        <v>35</v>
      </c>
      <c r="E41" s="31"/>
      <c r="F41" s="3"/>
      <c r="G41" s="45"/>
      <c r="H41" s="49" t="n">
        <v>0.1</v>
      </c>
      <c r="I41" s="46" t="s">
        <v>57</v>
      </c>
      <c r="J41" s="50" t="s">
        <v>82</v>
      </c>
      <c r="K41" s="3"/>
      <c r="L41" s="3"/>
      <c r="M41" s="3"/>
      <c r="N41" s="3"/>
      <c r="O41" s="3"/>
      <c r="P41" s="3"/>
      <c r="Q41" s="3"/>
    </row>
    <row r="42" customFormat="false" ht="32.25" hidden="false" customHeight="true" outlineLevel="0" collapsed="false">
      <c r="A42" s="8"/>
      <c r="B42" s="52" t="s">
        <v>83</v>
      </c>
      <c r="C42" s="53" t="n">
        <f aca="false">C40+C41</f>
        <v>0.290101752411413</v>
      </c>
      <c r="D42" s="54" t="s">
        <v>35</v>
      </c>
      <c r="E42" s="55" t="s">
        <v>84</v>
      </c>
      <c r="F42" s="3"/>
      <c r="G42" s="56" t="s">
        <v>85</v>
      </c>
      <c r="H42" s="57" t="n">
        <f aca="false">C57</f>
        <v>3.3</v>
      </c>
      <c r="I42" s="46" t="s">
        <v>86</v>
      </c>
      <c r="J42" s="3"/>
      <c r="K42" s="3"/>
      <c r="L42" s="3"/>
      <c r="M42" s="3"/>
      <c r="N42" s="3"/>
      <c r="O42" s="3"/>
      <c r="P42" s="3"/>
      <c r="Q42" s="3"/>
    </row>
    <row r="43" customFormat="false" ht="19.5" hidden="false" customHeight="true" outlineLevel="0" collapsed="false">
      <c r="A43" s="8"/>
      <c r="B43" s="58"/>
      <c r="C43" s="58"/>
      <c r="D43" s="58"/>
      <c r="E43" s="59"/>
      <c r="F43" s="3"/>
      <c r="G43" s="45" t="s">
        <v>87</v>
      </c>
      <c r="H43" s="46" t="n">
        <f aca="false">C47</f>
        <v>50</v>
      </c>
      <c r="I43" s="46" t="s">
        <v>28</v>
      </c>
      <c r="J43" s="3"/>
      <c r="K43" s="3"/>
      <c r="L43" s="3"/>
      <c r="M43" s="3"/>
      <c r="N43" s="3"/>
      <c r="O43" s="3"/>
      <c r="P43" s="3"/>
      <c r="Q43" s="3"/>
    </row>
    <row r="44" customFormat="false" ht="17.35" hidden="false" customHeight="false" outlineLevel="0" collapsed="false">
      <c r="A44" s="8"/>
      <c r="B44" s="60" t="s">
        <v>88</v>
      </c>
      <c r="C44" s="60"/>
      <c r="D44" s="60"/>
      <c r="E44" s="60"/>
      <c r="F44" s="3"/>
      <c r="G44" s="45" t="s">
        <v>89</v>
      </c>
      <c r="H44" s="46" t="n">
        <f aca="false">R_2</f>
        <v>10</v>
      </c>
      <c r="I44" s="46" t="s">
        <v>28</v>
      </c>
      <c r="J44" s="3"/>
      <c r="K44" s="3"/>
      <c r="L44" s="3"/>
      <c r="M44" s="3"/>
      <c r="N44" s="3"/>
      <c r="O44" s="3"/>
      <c r="P44" s="3"/>
      <c r="Q44" s="3"/>
    </row>
    <row r="45" customFormat="false" ht="17.35" hidden="false" customHeight="false" outlineLevel="0" collapsed="false">
      <c r="A45" s="8"/>
      <c r="B45" s="60"/>
      <c r="C45" s="60"/>
      <c r="D45" s="60"/>
      <c r="E45" s="60"/>
      <c r="F45" s="3"/>
      <c r="G45" s="45" t="s">
        <v>90</v>
      </c>
      <c r="H45" s="57" t="n">
        <f aca="false">C55</f>
        <v>55</v>
      </c>
      <c r="I45" s="46" t="s">
        <v>28</v>
      </c>
      <c r="J45" s="3"/>
      <c r="K45" s="3"/>
      <c r="L45" s="3"/>
      <c r="M45" s="3"/>
      <c r="N45" s="3"/>
      <c r="O45" s="3"/>
      <c r="P45" s="3"/>
      <c r="Q45" s="3"/>
    </row>
    <row r="46" customFormat="false" ht="24.75" hidden="false" customHeight="true" outlineLevel="0" collapsed="false">
      <c r="A46" s="8"/>
      <c r="B46" s="61" t="s">
        <v>91</v>
      </c>
      <c r="C46" s="61"/>
      <c r="D46" s="61"/>
      <c r="E46" s="61"/>
      <c r="F46" s="3"/>
      <c r="G46" s="45"/>
      <c r="H46" s="57"/>
      <c r="I46" s="46"/>
      <c r="J46" s="3"/>
      <c r="K46" s="3"/>
      <c r="L46" s="3"/>
      <c r="M46" s="3"/>
      <c r="N46" s="3"/>
      <c r="O46" s="3"/>
      <c r="P46" s="3"/>
      <c r="Q46" s="3"/>
    </row>
    <row r="47" customFormat="false" ht="26.85" hidden="false" customHeight="false" outlineLevel="0" collapsed="false">
      <c r="A47" s="8"/>
      <c r="B47" s="62" t="s">
        <v>92</v>
      </c>
      <c r="C47" s="63" t="n">
        <f aca="false">R_2*(VDD_COM/2.5-1)</f>
        <v>50</v>
      </c>
      <c r="D47" s="54" t="s">
        <v>28</v>
      </c>
      <c r="E47" s="55" t="s">
        <v>93</v>
      </c>
      <c r="F47" s="3"/>
      <c r="G47" s="45" t="s">
        <v>94</v>
      </c>
      <c r="H47" s="46" t="n">
        <v>5.11</v>
      </c>
      <c r="I47" s="46" t="s">
        <v>28</v>
      </c>
      <c r="J47" s="3"/>
      <c r="K47" s="3"/>
      <c r="L47" s="3"/>
      <c r="M47" s="3"/>
      <c r="N47" s="3"/>
      <c r="O47" s="3"/>
      <c r="P47" s="3"/>
      <c r="Q47" s="3"/>
    </row>
    <row r="48" customFormat="false" ht="24" hidden="false" customHeight="true" outlineLevel="0" collapsed="false">
      <c r="A48" s="8"/>
      <c r="B48" s="61" t="s">
        <v>95</v>
      </c>
      <c r="C48" s="61"/>
      <c r="D48" s="61"/>
      <c r="E48" s="61"/>
      <c r="F48" s="3"/>
      <c r="G48" s="45" t="s">
        <v>96</v>
      </c>
      <c r="H48" s="46" t="n">
        <v>10</v>
      </c>
      <c r="I48" s="46" t="s">
        <v>28</v>
      </c>
      <c r="J48" s="50" t="s">
        <v>80</v>
      </c>
      <c r="K48" s="3"/>
      <c r="L48" s="3"/>
      <c r="M48" s="3"/>
      <c r="N48" s="3"/>
      <c r="O48" s="3"/>
      <c r="P48" s="3"/>
      <c r="Q48" s="3"/>
    </row>
    <row r="49" customFormat="false" ht="21" hidden="false" customHeight="true" outlineLevel="0" collapsed="false">
      <c r="A49" s="8"/>
      <c r="B49" s="35" t="s">
        <v>97</v>
      </c>
      <c r="C49" s="64" t="n">
        <f aca="false">Qgtot/((PERCENT_VPP_MAX/100)*VDD_COM)</f>
        <v>4.46666666666667</v>
      </c>
      <c r="D49" s="30" t="s">
        <v>57</v>
      </c>
      <c r="E49" s="65"/>
      <c r="F49" s="3"/>
      <c r="G49" s="45"/>
      <c r="H49" s="46" t="n">
        <v>4.99</v>
      </c>
      <c r="I49" s="46" t="s">
        <v>28</v>
      </c>
      <c r="J49" s="50" t="s">
        <v>82</v>
      </c>
      <c r="K49" s="3"/>
      <c r="L49" s="3"/>
      <c r="M49" s="3"/>
      <c r="N49" s="3"/>
      <c r="O49" s="3"/>
      <c r="P49" s="3"/>
      <c r="Q49" s="3"/>
    </row>
    <row r="50" customFormat="false" ht="15" hidden="false" customHeight="false" outlineLevel="0" collapsed="false">
      <c r="A50" s="8"/>
      <c r="B50" s="35" t="s">
        <v>98</v>
      </c>
      <c r="C50" s="66" t="n">
        <v>6.8</v>
      </c>
      <c r="D50" s="30" t="s">
        <v>57</v>
      </c>
      <c r="E50" s="67" t="s">
        <v>99</v>
      </c>
      <c r="F50" s="3"/>
      <c r="K50" s="3"/>
      <c r="L50" s="3"/>
      <c r="M50" s="3"/>
      <c r="N50" s="3"/>
      <c r="O50" s="3"/>
      <c r="P50" s="3"/>
      <c r="Q50" s="3"/>
    </row>
    <row r="51" s="1" customFormat="true" ht="24" hidden="false" customHeight="true" outlineLevel="0" collapsed="false">
      <c r="A51" s="8"/>
      <c r="B51" s="35" t="s">
        <v>100</v>
      </c>
      <c r="C51" s="68" t="n">
        <f aca="false">Qgtot/((PERCENT_VPP_MAX_VEE/100)*COM_VEE)</f>
        <v>2.68</v>
      </c>
      <c r="D51" s="69" t="s">
        <v>57</v>
      </c>
      <c r="E51" s="67"/>
      <c r="F51" s="3"/>
      <c r="J51" s="3"/>
      <c r="K51" s="3"/>
      <c r="L51" s="3"/>
      <c r="M51" s="3"/>
      <c r="N51" s="3"/>
      <c r="O51" s="3"/>
      <c r="P51" s="3"/>
      <c r="Q51" s="3"/>
    </row>
    <row r="52" s="1" customFormat="true" ht="23.25" hidden="false" customHeight="true" outlineLevel="0" collapsed="false">
      <c r="A52" s="8"/>
      <c r="B52" s="70" t="s">
        <v>101</v>
      </c>
      <c r="C52" s="66" t="n">
        <v>6.8</v>
      </c>
      <c r="D52" s="69" t="s">
        <v>57</v>
      </c>
      <c r="E52" s="67" t="s">
        <v>102</v>
      </c>
      <c r="F52" s="3"/>
      <c r="J52" s="3"/>
      <c r="K52" s="3"/>
      <c r="L52" s="3"/>
      <c r="M52" s="3"/>
      <c r="N52" s="3"/>
      <c r="O52" s="3"/>
      <c r="P52" s="3"/>
      <c r="Q52" s="3"/>
    </row>
    <row r="53" s="1" customFormat="true" ht="23.25" hidden="false" customHeight="true" outlineLevel="0" collapsed="false">
      <c r="A53" s="8"/>
      <c r="B53" s="71" t="s">
        <v>103</v>
      </c>
      <c r="C53" s="72" t="n">
        <f aca="false">4.6/(0.5/(C27*0.82-IQ_VEE)+(COM_VEE-0.5)/(C27-IQ_VEE))-C64</f>
        <v>42.8816984321648</v>
      </c>
      <c r="D53" s="69" t="s">
        <v>57</v>
      </c>
      <c r="E53" s="73" t="s">
        <v>104</v>
      </c>
      <c r="F53" s="3"/>
      <c r="J53" s="3"/>
      <c r="K53" s="3"/>
      <c r="L53" s="3"/>
      <c r="M53" s="3"/>
      <c r="N53" s="3"/>
      <c r="O53" s="3"/>
      <c r="P53" s="3"/>
      <c r="Q53" s="3"/>
    </row>
    <row r="54" s="1" customFormat="true" ht="20.25" hidden="false" customHeight="true" outlineLevel="0" collapsed="false">
      <c r="A54" s="8"/>
      <c r="B54" s="61" t="s">
        <v>105</v>
      </c>
      <c r="C54" s="61"/>
      <c r="D54" s="61"/>
      <c r="E54" s="61"/>
      <c r="F54" s="3"/>
      <c r="J54" s="3"/>
      <c r="K54" s="3"/>
      <c r="L54" s="3"/>
      <c r="M54" s="3"/>
      <c r="N54" s="3"/>
      <c r="O54" s="3"/>
      <c r="P54" s="3"/>
      <c r="Q54" s="3"/>
    </row>
    <row r="55" s="1" customFormat="true" ht="26.85" hidden="false" customHeight="false" outlineLevel="0" collapsed="false">
      <c r="A55" s="8"/>
      <c r="B55" s="24" t="s">
        <v>106</v>
      </c>
      <c r="C55" s="74" t="n">
        <f aca="false">45/4.5*(0.5+COM_VEE)</f>
        <v>55</v>
      </c>
      <c r="D55" s="75" t="s">
        <v>28</v>
      </c>
      <c r="E55" s="76" t="s">
        <v>107</v>
      </c>
      <c r="F55" s="3"/>
      <c r="J55" s="3"/>
      <c r="K55" s="3"/>
      <c r="L55" s="3"/>
      <c r="M55" s="3"/>
      <c r="N55" s="3"/>
      <c r="O55" s="3"/>
      <c r="P55" s="3"/>
      <c r="Q55" s="3"/>
    </row>
    <row r="56" s="1" customFormat="true" ht="24.75" hidden="false" customHeight="true" outlineLevel="0" collapsed="false">
      <c r="A56" s="8"/>
      <c r="B56" s="61" t="s">
        <v>108</v>
      </c>
      <c r="C56" s="61"/>
      <c r="D56" s="61"/>
      <c r="E56" s="61"/>
      <c r="F56" s="3"/>
      <c r="J56" s="3"/>
      <c r="K56" s="3"/>
      <c r="L56" s="3"/>
      <c r="M56" s="3"/>
      <c r="N56" s="3"/>
      <c r="O56" s="3"/>
      <c r="P56" s="3"/>
      <c r="Q56" s="3"/>
    </row>
    <row r="57" s="1" customFormat="true" ht="19.5" hidden="false" customHeight="true" outlineLevel="0" collapsed="false">
      <c r="A57" s="8"/>
      <c r="B57" s="70" t="s">
        <v>109</v>
      </c>
      <c r="C57" s="64" t="n">
        <v>3.3</v>
      </c>
      <c r="D57" s="69" t="s">
        <v>86</v>
      </c>
      <c r="E57" s="27" t="s">
        <v>110</v>
      </c>
      <c r="F57" s="3"/>
      <c r="J57" s="3"/>
      <c r="K57" s="3"/>
      <c r="L57" s="3"/>
      <c r="M57" s="3"/>
      <c r="N57" s="3"/>
      <c r="O57" s="3"/>
      <c r="P57" s="3"/>
      <c r="Q57" s="3"/>
    </row>
    <row r="58" s="1" customFormat="true" ht="19.5" hidden="false" customHeight="true" outlineLevel="0" collapsed="false">
      <c r="A58" s="8"/>
      <c r="B58" s="77" t="s">
        <v>111</v>
      </c>
      <c r="C58" s="78" t="n">
        <v>350</v>
      </c>
      <c r="D58" s="79" t="s">
        <v>6</v>
      </c>
      <c r="E58" s="80" t="s">
        <v>112</v>
      </c>
      <c r="F58" s="3"/>
      <c r="J58" s="3"/>
      <c r="K58" s="3"/>
      <c r="L58" s="3"/>
      <c r="M58" s="3"/>
      <c r="N58" s="3"/>
      <c r="O58" s="3"/>
      <c r="P58" s="3"/>
      <c r="Q58" s="3"/>
    </row>
    <row r="59" s="1" customFormat="true" ht="19.5" hidden="false" customHeight="true" outlineLevel="0" collapsed="false">
      <c r="A59" s="3"/>
      <c r="B59" s="3"/>
      <c r="C59" s="3"/>
      <c r="D59" s="3"/>
      <c r="E59" s="3"/>
      <c r="F59" s="3"/>
      <c r="J59" s="3"/>
      <c r="K59" s="3"/>
      <c r="L59" s="3"/>
      <c r="M59" s="3"/>
      <c r="N59" s="3"/>
      <c r="O59" s="3"/>
      <c r="P59" s="3"/>
      <c r="Q59" s="3"/>
    </row>
    <row r="60" s="1" customFormat="true" ht="15" hidden="false" customHeight="false" outlineLevel="0" collapsed="false">
      <c r="A60" s="8"/>
      <c r="B60" s="60" t="s">
        <v>113</v>
      </c>
      <c r="C60" s="60"/>
      <c r="D60" s="60"/>
      <c r="E60" s="60"/>
      <c r="F60" s="3"/>
      <c r="K60" s="3"/>
      <c r="L60" s="3"/>
      <c r="M60" s="3"/>
      <c r="N60" s="3"/>
      <c r="O60" s="3"/>
      <c r="P60" s="3"/>
      <c r="Q60" s="3"/>
    </row>
    <row r="61" s="1" customFormat="true" ht="15" hidden="false" customHeight="false" outlineLevel="0" collapsed="false">
      <c r="A61" s="8"/>
      <c r="B61" s="60"/>
      <c r="C61" s="60"/>
      <c r="D61" s="60"/>
      <c r="E61" s="60"/>
      <c r="F61" s="3"/>
      <c r="K61" s="3"/>
      <c r="L61" s="3"/>
      <c r="M61" s="3"/>
      <c r="N61" s="3"/>
      <c r="O61" s="3"/>
      <c r="P61" s="3"/>
      <c r="Q61" s="3"/>
    </row>
    <row r="62" s="1" customFormat="true" ht="20.25" hidden="false" customHeight="true" outlineLevel="0" collapsed="false">
      <c r="A62" s="8"/>
      <c r="B62" s="81" t="s">
        <v>114</v>
      </c>
      <c r="C62" s="82" t="s">
        <v>56</v>
      </c>
      <c r="D62" s="83" t="s">
        <v>57</v>
      </c>
      <c r="E62" s="84" t="s">
        <v>115</v>
      </c>
      <c r="F62" s="3"/>
      <c r="K62" s="3"/>
      <c r="L62" s="3"/>
      <c r="M62" s="3"/>
      <c r="N62" s="3"/>
      <c r="O62" s="3"/>
      <c r="P62" s="3"/>
      <c r="Q62" s="3"/>
    </row>
    <row r="63" s="1" customFormat="true" ht="20.25" hidden="false" customHeight="true" outlineLevel="0" collapsed="false">
      <c r="A63" s="8"/>
      <c r="B63" s="81" t="s">
        <v>116</v>
      </c>
      <c r="C63" s="82" t="s">
        <v>56</v>
      </c>
      <c r="D63" s="85" t="s">
        <v>57</v>
      </c>
      <c r="E63" s="84"/>
      <c r="F63" s="3"/>
      <c r="K63" s="3"/>
      <c r="L63" s="3"/>
      <c r="M63" s="3"/>
      <c r="N63" s="3"/>
      <c r="O63" s="3"/>
      <c r="P63" s="3"/>
      <c r="Q63" s="3"/>
    </row>
    <row r="64" s="1" customFormat="true" ht="56.25" hidden="false" customHeight="true" outlineLevel="0" collapsed="false">
      <c r="A64" s="8"/>
      <c r="B64" s="24" t="s">
        <v>117</v>
      </c>
      <c r="C64" s="86" t="n">
        <v>2.2</v>
      </c>
      <c r="D64" s="26" t="s">
        <v>57</v>
      </c>
      <c r="E64" s="87" t="s">
        <v>118</v>
      </c>
      <c r="F64" s="3"/>
      <c r="K64" s="3"/>
      <c r="L64" s="3"/>
      <c r="M64" s="3"/>
      <c r="N64" s="3"/>
      <c r="O64" s="3"/>
      <c r="P64" s="3"/>
      <c r="Q64" s="3"/>
    </row>
    <row r="65" s="1" customFormat="true" ht="20.25" hidden="false" customHeight="true" outlineLevel="0" collapsed="false">
      <c r="A65" s="8"/>
      <c r="B65" s="24" t="s">
        <v>119</v>
      </c>
      <c r="C65" s="86" t="n">
        <v>220</v>
      </c>
      <c r="D65" s="26" t="s">
        <v>72</v>
      </c>
      <c r="E65" s="88" t="s">
        <v>120</v>
      </c>
      <c r="F65" s="3"/>
      <c r="K65" s="3"/>
      <c r="L65" s="3"/>
      <c r="M65" s="3"/>
      <c r="N65" s="3"/>
      <c r="O65" s="3"/>
      <c r="P65" s="3"/>
      <c r="Q65" s="3"/>
    </row>
    <row r="66" s="1" customFormat="true" ht="15" hidden="false" customHeight="false" outlineLevel="0" collapsed="false">
      <c r="A66" s="8"/>
      <c r="B66" s="89" t="s">
        <v>121</v>
      </c>
      <c r="C66" s="90" t="n">
        <v>10</v>
      </c>
      <c r="D66" s="91" t="s">
        <v>72</v>
      </c>
      <c r="E66" s="92" t="s">
        <v>120</v>
      </c>
      <c r="F66" s="3"/>
      <c r="K66" s="3"/>
      <c r="L66" s="3"/>
      <c r="M66" s="3"/>
      <c r="N66" s="3"/>
      <c r="O66" s="3"/>
      <c r="P66" s="3"/>
      <c r="Q66" s="3"/>
    </row>
    <row r="67" s="1" customFormat="true" ht="15" hidden="false" customHeight="false" outlineLevel="0" collapsed="false">
      <c r="A67" s="3"/>
      <c r="B67" s="3"/>
      <c r="C67" s="3"/>
      <c r="D67" s="3"/>
      <c r="E67" s="3"/>
      <c r="F67" s="3"/>
      <c r="K67" s="3"/>
      <c r="L67" s="3"/>
      <c r="M67" s="3"/>
      <c r="N67" s="3"/>
      <c r="O67" s="3"/>
      <c r="P67" s="3"/>
      <c r="Q67" s="3"/>
    </row>
    <row r="68" s="1" customFormat="true" ht="18.55" hidden="false" customHeight="false" outlineLevel="0" collapsed="false">
      <c r="A68" s="3"/>
      <c r="B68" s="93" t="s">
        <v>122</v>
      </c>
      <c r="C68" s="3"/>
      <c r="D68" s="3"/>
      <c r="E68" s="3"/>
      <c r="F68" s="3"/>
      <c r="K68" s="3"/>
      <c r="L68" s="3"/>
      <c r="M68" s="3"/>
      <c r="N68" s="3"/>
      <c r="O68" s="3"/>
      <c r="P68" s="3"/>
      <c r="Q68" s="3"/>
    </row>
    <row r="69" s="1" customFormat="true" ht="15" hidden="false" customHeight="false" outlineLevel="0" collapsed="false">
      <c r="A69" s="3"/>
      <c r="C69" s="3"/>
      <c r="D69" s="3"/>
      <c r="E69" s="3"/>
      <c r="F69" s="3"/>
      <c r="K69" s="3"/>
      <c r="L69" s="3"/>
      <c r="M69" s="3"/>
      <c r="N69" s="3"/>
      <c r="O69" s="3"/>
      <c r="P69" s="3"/>
      <c r="Q69" s="3"/>
    </row>
    <row r="70" customFormat="false" ht="15" hidden="false" customHeight="false" outlineLevel="0" collapsed="false">
      <c r="A70" s="3"/>
      <c r="B70" s="3"/>
      <c r="C70" s="3"/>
      <c r="D70" s="3"/>
      <c r="E70" s="3"/>
      <c r="F70" s="3"/>
      <c r="G70" s="5"/>
      <c r="H70" s="3"/>
      <c r="I70" s="3"/>
      <c r="J70" s="3"/>
      <c r="K70" s="3"/>
      <c r="L70" s="3"/>
      <c r="M70" s="3"/>
      <c r="N70" s="3"/>
      <c r="O70" s="3"/>
      <c r="P70" s="3"/>
      <c r="Q70" s="3"/>
    </row>
  </sheetData>
  <mergeCells count="18">
    <mergeCell ref="B1:E1"/>
    <mergeCell ref="B2:E2"/>
    <mergeCell ref="B3:E6"/>
    <mergeCell ref="B7:E7"/>
    <mergeCell ref="B8:E8"/>
    <mergeCell ref="B9:E9"/>
    <mergeCell ref="B10:E10"/>
    <mergeCell ref="B11:E12"/>
    <mergeCell ref="A30:A39"/>
    <mergeCell ref="G40:G41"/>
    <mergeCell ref="B44:E45"/>
    <mergeCell ref="B46:E46"/>
    <mergeCell ref="B48:E48"/>
    <mergeCell ref="G48:G49"/>
    <mergeCell ref="B54:E54"/>
    <mergeCell ref="B56:E56"/>
    <mergeCell ref="B60:E61"/>
    <mergeCell ref="E62:E63"/>
  </mergeCells>
  <conditionalFormatting sqref="E14">
    <cfRule type="expression" priority="2" aboveAverage="0" equalAverage="0" bottom="0" percent="0" rank="0" text="" dxfId="0">
      <formula>$C$14&lt;2</formula>
    </cfRule>
    <cfRule type="expression" priority="3" aboveAverage="0" equalAverage="0" bottom="0" percent="0" rank="0" text="" dxfId="1">
      <formula>$C$14&gt;8</formula>
    </cfRule>
  </conditionalFormatting>
  <conditionalFormatting sqref="E13">
    <cfRule type="expression" priority="4" aboveAverage="0" equalAverage="0" bottom="0" percent="0" rank="0" text="" dxfId="2">
      <formula>$C$13&lt;15</formula>
    </cfRule>
    <cfRule type="expression" priority="5" aboveAverage="0" equalAverage="0" bottom="0" percent="0" rank="0" text="" dxfId="3">
      <formula>$C$13&gt;20</formula>
    </cfRule>
  </conditionalFormatting>
  <conditionalFormatting sqref="C42">
    <cfRule type="expression" priority="6" aboveAverage="0" equalAverage="0" bottom="0" percent="0" rank="0" text="" dxfId="4">
      <formula>$C$42&gt;3</formula>
    </cfRule>
  </conditionalFormatting>
  <conditionalFormatting sqref="C26 E26">
    <cfRule type="expression" priority="7" aboveAverage="0" equalAverage="0" bottom="0" percent="0" rank="0" text="" dxfId="5">
      <formula>$C$26&gt;$C$27</formula>
    </cfRule>
  </conditionalFormatting>
  <conditionalFormatting sqref="E58">
    <cfRule type="expression" priority="8" aboveAverage="0" equalAverage="0" bottom="0" percent="0" rank="0" text="" dxfId="6">
      <formula>$C$58&lt;350</formula>
    </cfRule>
  </conditionalFormatting>
  <conditionalFormatting sqref="C13">
    <cfRule type="expression" priority="9" aboveAverage="0" equalAverage="0" bottom="0" percent="0" rank="0" text="" dxfId="7">
      <formula>$C$13&gt;25.5</formula>
    </cfRule>
  </conditionalFormatting>
  <conditionalFormatting sqref="E50">
    <cfRule type="expression" priority="10" aboveAverage="0" equalAverage="0" bottom="0" percent="0" rank="0" text="" dxfId="8">
      <formula>$C$50&lt;$C$49</formula>
    </cfRule>
  </conditionalFormatting>
  <conditionalFormatting sqref="E53">
    <cfRule type="expression" priority="11" aboveAverage="0" equalAverage="0" bottom="0" percent="0" rank="0" text="" dxfId="9">
      <formula>$C$52&gt;($C$53*0.9)</formula>
    </cfRule>
  </conditionalFormatting>
  <conditionalFormatting sqref="E51">
    <cfRule type="expression" priority="12" aboveAverage="0" equalAverage="0" bottom="0" percent="0" rank="0" text="" dxfId="10">
      <formula>$C$62&lt;$C$61</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33" activeCellId="0" sqref="F33"/>
    </sheetView>
  </sheetViews>
  <sheetFormatPr defaultColWidth="9.00390625" defaultRowHeight="15" customHeight="false" zeroHeight="false" outlineLevelRow="0" outlineLevelCol="0"/>
  <cols>
    <col collapsed="false" customWidth="true" hidden="false" outlineLevel="0" max="1" min="1" style="1" width="5"/>
    <col collapsed="false" customWidth="true" hidden="false" outlineLevel="0" max="2" min="2" style="1" width="97.71"/>
    <col collapsed="false" customWidth="true" hidden="false" outlineLevel="0" max="3" min="3" style="1" width="49.29"/>
    <col collapsed="false" customWidth="true" hidden="false" outlineLevel="0" max="4" min="4" style="1" width="13.86"/>
    <col collapsed="false" customWidth="true" hidden="false" outlineLevel="0" max="5" min="5" style="1" width="71"/>
    <col collapsed="false" customWidth="true" hidden="false" outlineLevel="0" max="6" min="6" style="1" width="17.86"/>
    <col collapsed="false" customWidth="true" hidden="false" outlineLevel="0" max="7" min="7" style="2" width="28.14"/>
    <col collapsed="false" customWidth="true" hidden="false" outlineLevel="0" max="8" min="8" style="1" width="10.85"/>
    <col collapsed="false" customWidth="true" hidden="false" outlineLevel="0" max="9" min="9" style="1" width="8"/>
    <col collapsed="false" customWidth="true" hidden="false" outlineLevel="0" max="10" min="10" style="1" width="17.86"/>
    <col collapsed="false" customWidth="true" hidden="false" outlineLevel="0" max="13" min="11" style="1" width="7.71"/>
    <col collapsed="false" customWidth="false" hidden="false" outlineLevel="0" max="21" min="14" style="1" width="9"/>
    <col collapsed="false" customWidth="true" hidden="false" outlineLevel="0" max="22" min="22" style="1" width="28.14"/>
    <col collapsed="false" customWidth="true" hidden="false" outlineLevel="0" max="23" min="23" style="1" width="33.42"/>
    <col collapsed="false" customWidth="true" hidden="false" outlineLevel="0" max="24" min="24" style="1" width="8"/>
    <col collapsed="false" customWidth="false" hidden="false" outlineLevel="0" max="16384" min="25" style="1" width="9"/>
  </cols>
  <sheetData>
    <row r="1" customFormat="false" ht="29.15" hidden="false" customHeight="true" outlineLevel="0" collapsed="false">
      <c r="A1" s="3"/>
      <c r="B1" s="4" t="s">
        <v>123</v>
      </c>
      <c r="C1" s="4"/>
      <c r="D1" s="4"/>
      <c r="E1" s="4"/>
      <c r="F1" s="3"/>
      <c r="G1" s="5"/>
      <c r="H1" s="3"/>
      <c r="I1" s="3"/>
      <c r="J1" s="3"/>
      <c r="K1" s="3"/>
      <c r="L1" s="3"/>
      <c r="M1" s="3"/>
      <c r="N1" s="3"/>
      <c r="O1" s="3"/>
      <c r="P1" s="3"/>
      <c r="Q1" s="3"/>
    </row>
    <row r="2" customFormat="false" ht="15" hidden="false" customHeight="false" outlineLevel="0" collapsed="false">
      <c r="A2" s="3"/>
      <c r="B2" s="6" t="s">
        <v>1</v>
      </c>
      <c r="C2" s="6"/>
      <c r="D2" s="6"/>
      <c r="E2" s="6"/>
      <c r="F2" s="3"/>
      <c r="G2" s="5"/>
      <c r="H2" s="3"/>
      <c r="I2" s="3"/>
      <c r="J2" s="3"/>
      <c r="K2" s="3"/>
      <c r="L2" s="3"/>
      <c r="M2" s="3"/>
      <c r="N2" s="3"/>
      <c r="O2" s="3"/>
      <c r="P2" s="3"/>
      <c r="Q2" s="3"/>
    </row>
    <row r="3" customFormat="false" ht="15" hidden="false" customHeight="true" outlineLevel="0" collapsed="false">
      <c r="A3" s="3"/>
      <c r="B3" s="7" t="s">
        <v>2</v>
      </c>
      <c r="C3" s="7"/>
      <c r="D3" s="7"/>
      <c r="E3" s="7"/>
      <c r="F3" s="3"/>
      <c r="G3" s="5"/>
      <c r="H3" s="3"/>
      <c r="I3" s="3"/>
      <c r="J3" s="3"/>
      <c r="K3" s="3"/>
      <c r="L3" s="3"/>
      <c r="M3" s="3"/>
      <c r="N3" s="3"/>
      <c r="O3" s="3"/>
      <c r="P3" s="3"/>
      <c r="Q3" s="3"/>
    </row>
    <row r="4" customFormat="false" ht="15" hidden="false" customHeight="false" outlineLevel="0" collapsed="false">
      <c r="A4" s="8"/>
      <c r="B4" s="7"/>
      <c r="C4" s="7"/>
      <c r="D4" s="7"/>
      <c r="E4" s="7"/>
      <c r="F4" s="3"/>
      <c r="G4" s="5"/>
      <c r="H4" s="3"/>
      <c r="I4" s="3"/>
      <c r="J4" s="3"/>
      <c r="K4" s="3"/>
      <c r="L4" s="3"/>
      <c r="M4" s="3"/>
      <c r="N4" s="3"/>
      <c r="O4" s="3"/>
      <c r="P4" s="3"/>
      <c r="Q4" s="3"/>
    </row>
    <row r="5" customFormat="false" ht="15" hidden="false" customHeight="false" outlineLevel="0" collapsed="false">
      <c r="A5" s="8"/>
      <c r="B5" s="7"/>
      <c r="C5" s="7"/>
      <c r="D5" s="7"/>
      <c r="E5" s="7"/>
      <c r="F5" s="9"/>
      <c r="G5" s="5"/>
      <c r="H5" s="3"/>
      <c r="I5" s="3"/>
      <c r="J5" s="3"/>
      <c r="K5" s="3"/>
      <c r="L5" s="3"/>
      <c r="M5" s="3"/>
      <c r="N5" s="3"/>
      <c r="O5" s="3"/>
      <c r="P5" s="3"/>
      <c r="Q5" s="3"/>
    </row>
    <row r="6" customFormat="false" ht="15" hidden="false" customHeight="false" outlineLevel="0" collapsed="false">
      <c r="A6" s="8"/>
      <c r="B6" s="7"/>
      <c r="C6" s="7"/>
      <c r="D6" s="7"/>
      <c r="E6" s="7"/>
      <c r="F6" s="9"/>
      <c r="G6" s="5"/>
      <c r="H6" s="3"/>
      <c r="I6" s="3"/>
      <c r="J6" s="3"/>
      <c r="K6" s="3"/>
      <c r="L6" s="3"/>
      <c r="M6" s="3"/>
      <c r="N6" s="3"/>
      <c r="O6" s="3"/>
      <c r="P6" s="3"/>
      <c r="Q6" s="3"/>
    </row>
    <row r="7" customFormat="false" ht="24.75" hidden="false" customHeight="true" outlineLevel="0" collapsed="false">
      <c r="A7" s="8"/>
      <c r="B7" s="10" t="s">
        <v>124</v>
      </c>
      <c r="C7" s="10"/>
      <c r="D7" s="10"/>
      <c r="E7" s="10"/>
      <c r="F7" s="9"/>
      <c r="G7" s="5"/>
      <c r="H7" s="3"/>
      <c r="I7" s="3"/>
      <c r="J7" s="3"/>
      <c r="K7" s="3"/>
      <c r="L7" s="3"/>
      <c r="M7" s="3"/>
      <c r="N7" s="3"/>
      <c r="O7" s="3"/>
      <c r="P7" s="3"/>
      <c r="Q7" s="3"/>
    </row>
    <row r="8" customFormat="false" ht="17.35" hidden="false" customHeight="false" outlineLevel="0" collapsed="false">
      <c r="A8" s="8"/>
      <c r="B8" s="11" t="s">
        <v>4</v>
      </c>
      <c r="C8" s="11"/>
      <c r="D8" s="11"/>
      <c r="E8" s="11"/>
      <c r="F8" s="9"/>
      <c r="G8" s="5" t="s">
        <v>5</v>
      </c>
      <c r="H8" s="1" t="n">
        <f aca="false">C21/VDD_COM*1000+I_VDD_COM</f>
        <v>22</v>
      </c>
      <c r="I8" s="3" t="s">
        <v>6</v>
      </c>
      <c r="J8" s="3"/>
      <c r="K8" s="3"/>
      <c r="L8" s="3"/>
      <c r="M8" s="3"/>
      <c r="N8" s="3"/>
      <c r="O8" s="3"/>
      <c r="P8" s="3"/>
      <c r="Q8" s="3"/>
    </row>
    <row r="9" customFormat="false" ht="17.15" hidden="false" customHeight="false" outlineLevel="0" collapsed="false">
      <c r="A9" s="8"/>
      <c r="B9" s="12" t="s">
        <v>7</v>
      </c>
      <c r="C9" s="12"/>
      <c r="D9" s="12"/>
      <c r="E9" s="12"/>
      <c r="F9" s="9"/>
      <c r="G9" s="5"/>
      <c r="H9" s="13"/>
      <c r="I9" s="3"/>
      <c r="J9" s="3"/>
      <c r="K9" s="3"/>
      <c r="L9" s="3"/>
      <c r="M9" s="3"/>
      <c r="N9" s="3"/>
      <c r="O9" s="3"/>
      <c r="P9" s="3"/>
      <c r="Q9" s="3"/>
    </row>
    <row r="10" customFormat="false" ht="33" hidden="false" customHeight="true" outlineLevel="0" collapsed="false">
      <c r="A10" s="8"/>
      <c r="B10" s="14" t="s">
        <v>9</v>
      </c>
      <c r="C10" s="14"/>
      <c r="D10" s="14"/>
      <c r="E10" s="14"/>
      <c r="F10" s="3"/>
      <c r="G10" s="15"/>
      <c r="H10" s="13"/>
      <c r="I10" s="3"/>
      <c r="J10" s="3"/>
      <c r="K10" s="3"/>
      <c r="L10" s="3"/>
      <c r="M10" s="3"/>
      <c r="N10" s="3"/>
      <c r="O10" s="3"/>
      <c r="P10" s="3"/>
      <c r="Q10" s="3"/>
    </row>
    <row r="11" customFormat="false" ht="15" hidden="false" customHeight="false" outlineLevel="0" collapsed="false">
      <c r="A11" s="8"/>
      <c r="B11" s="16" t="s">
        <v>11</v>
      </c>
      <c r="C11" s="16"/>
      <c r="D11" s="16"/>
      <c r="E11" s="16"/>
      <c r="F11" s="3"/>
      <c r="G11" s="5"/>
      <c r="H11" s="3"/>
      <c r="I11" s="3"/>
      <c r="J11" s="3"/>
      <c r="K11" s="3"/>
      <c r="L11" s="3"/>
      <c r="M11" s="3"/>
      <c r="N11" s="3"/>
      <c r="O11" s="3"/>
      <c r="P11" s="3"/>
      <c r="Q11" s="3"/>
    </row>
    <row r="12" customFormat="false" ht="15" hidden="false" customHeight="false" outlineLevel="0" collapsed="false">
      <c r="A12" s="8"/>
      <c r="B12" s="16"/>
      <c r="C12" s="16"/>
      <c r="D12" s="16"/>
      <c r="E12" s="16"/>
      <c r="F12" s="3"/>
      <c r="G12" s="5"/>
      <c r="H12" s="3"/>
      <c r="I12" s="3"/>
      <c r="J12" s="3"/>
      <c r="K12" s="3"/>
      <c r="L12" s="3"/>
      <c r="M12" s="3"/>
      <c r="N12" s="3"/>
      <c r="O12" s="3"/>
      <c r="P12" s="3"/>
      <c r="Q12" s="3"/>
    </row>
    <row r="13" customFormat="false" ht="20.25" hidden="false" customHeight="true" outlineLevel="0" collapsed="false">
      <c r="A13" s="8"/>
      <c r="B13" s="17" t="s">
        <v>13</v>
      </c>
      <c r="C13" s="18" t="n">
        <v>18</v>
      </c>
      <c r="D13" s="19" t="s">
        <v>14</v>
      </c>
      <c r="E13" s="20" t="s">
        <v>15</v>
      </c>
      <c r="F13" s="3"/>
      <c r="G13" s="5"/>
      <c r="H13" s="3"/>
      <c r="I13" s="3"/>
      <c r="J13" s="3"/>
      <c r="K13" s="3"/>
      <c r="L13" s="3"/>
      <c r="M13" s="3"/>
      <c r="N13" s="3"/>
      <c r="O13" s="3"/>
      <c r="P13" s="3"/>
      <c r="Q13" s="3"/>
    </row>
    <row r="14" customFormat="false" ht="20.25" hidden="false" customHeight="true" outlineLevel="0" collapsed="false">
      <c r="A14" s="8"/>
      <c r="B14" s="24" t="s">
        <v>18</v>
      </c>
      <c r="C14" s="25" t="n">
        <v>1.2</v>
      </c>
      <c r="D14" s="26" t="s">
        <v>19</v>
      </c>
      <c r="E14" s="27"/>
      <c r="F14" s="3"/>
      <c r="G14" s="5"/>
      <c r="H14" s="3"/>
      <c r="I14" s="3"/>
      <c r="J14" s="3"/>
      <c r="K14" s="3"/>
      <c r="L14" s="3"/>
      <c r="M14" s="3"/>
      <c r="N14" s="3"/>
      <c r="O14" s="3"/>
      <c r="P14" s="3"/>
      <c r="Q14" s="3"/>
    </row>
    <row r="15" customFormat="false" ht="20.25" hidden="false" customHeight="true" outlineLevel="0" collapsed="false">
      <c r="A15" s="8"/>
      <c r="B15" s="28" t="s">
        <v>20</v>
      </c>
      <c r="C15" s="29" t="n">
        <v>15</v>
      </c>
      <c r="D15" s="30" t="s">
        <v>21</v>
      </c>
      <c r="E15" s="31"/>
      <c r="F15" s="3"/>
      <c r="G15" s="5"/>
      <c r="H15" s="3"/>
      <c r="I15" s="3"/>
      <c r="J15" s="3"/>
      <c r="K15" s="3"/>
      <c r="L15" s="3"/>
      <c r="M15" s="3"/>
      <c r="N15" s="3"/>
      <c r="O15" s="3"/>
      <c r="P15" s="3"/>
      <c r="Q15" s="3"/>
    </row>
    <row r="16" customFormat="false" ht="21" hidden="false" customHeight="true" outlineLevel="0" collapsed="false">
      <c r="A16" s="8"/>
      <c r="B16" s="28" t="s">
        <v>22</v>
      </c>
      <c r="C16" s="32" t="n">
        <v>4</v>
      </c>
      <c r="D16" s="30" t="s">
        <v>6</v>
      </c>
      <c r="E16" s="20" t="s">
        <v>23</v>
      </c>
      <c r="F16" s="3"/>
      <c r="G16" s="5"/>
      <c r="H16" s="3"/>
      <c r="I16" s="3"/>
      <c r="J16" s="3"/>
      <c r="K16" s="3"/>
      <c r="L16" s="3"/>
      <c r="M16" s="3"/>
      <c r="N16" s="3"/>
      <c r="O16" s="3"/>
      <c r="P16" s="3"/>
      <c r="Q16" s="3"/>
    </row>
    <row r="17" customFormat="false" ht="20.25" hidden="false" customHeight="true" outlineLevel="0" collapsed="false">
      <c r="A17" s="8"/>
      <c r="B17" s="33" t="s">
        <v>125</v>
      </c>
      <c r="C17" s="32" t="n">
        <v>0</v>
      </c>
      <c r="D17" s="30" t="s">
        <v>6</v>
      </c>
      <c r="E17" s="31"/>
      <c r="F17" s="3"/>
      <c r="J17" s="3"/>
      <c r="K17" s="3"/>
      <c r="L17" s="3"/>
      <c r="M17" s="3"/>
      <c r="N17" s="3"/>
      <c r="O17" s="3"/>
      <c r="P17" s="3"/>
      <c r="Q17" s="3"/>
    </row>
    <row r="18" customFormat="false" ht="20.25" hidden="false" customHeight="true" outlineLevel="0" collapsed="false">
      <c r="A18" s="8"/>
      <c r="B18" s="33" t="s">
        <v>126</v>
      </c>
      <c r="C18" s="34" t="n">
        <f aca="false">IQ_DRIVER_VDD+IQ_OTHER_VDD</f>
        <v>4</v>
      </c>
      <c r="D18" s="30" t="s">
        <v>6</v>
      </c>
      <c r="E18" s="31"/>
      <c r="F18" s="3"/>
      <c r="J18" s="3"/>
      <c r="K18" s="3"/>
      <c r="L18" s="3"/>
      <c r="M18" s="3"/>
      <c r="N18" s="3"/>
      <c r="O18" s="3"/>
      <c r="P18" s="3"/>
      <c r="Q18" s="3"/>
    </row>
    <row r="19" customFormat="false" ht="20.25" hidden="false" customHeight="true" outlineLevel="0" collapsed="false">
      <c r="A19" s="8"/>
      <c r="B19" s="28" t="s">
        <v>127</v>
      </c>
      <c r="C19" s="32" t="n">
        <v>10</v>
      </c>
      <c r="D19" s="30" t="s">
        <v>28</v>
      </c>
      <c r="E19" s="31"/>
      <c r="F19" s="3"/>
      <c r="G19" s="5"/>
      <c r="H19" s="3"/>
      <c r="I19" s="3"/>
      <c r="J19" s="3"/>
      <c r="K19" s="3"/>
      <c r="L19" s="3"/>
      <c r="M19" s="3"/>
      <c r="N19" s="3"/>
      <c r="O19" s="3"/>
      <c r="P19" s="3"/>
      <c r="Q19" s="3"/>
    </row>
    <row r="20" customFormat="false" ht="19.5" hidden="false" customHeight="true" outlineLevel="0" collapsed="false">
      <c r="A20" s="8"/>
      <c r="B20" s="35" t="s">
        <v>128</v>
      </c>
      <c r="C20" s="32" t="n">
        <v>1</v>
      </c>
      <c r="D20" s="36" t="s">
        <v>30</v>
      </c>
      <c r="E20" s="31" t="s">
        <v>31</v>
      </c>
      <c r="F20" s="3"/>
      <c r="G20" s="5"/>
      <c r="H20" s="3"/>
      <c r="I20" s="3"/>
      <c r="J20" s="3"/>
      <c r="K20" s="3"/>
      <c r="L20" s="3"/>
      <c r="M20" s="3"/>
      <c r="N20" s="3"/>
      <c r="O20" s="3"/>
      <c r="P20" s="3"/>
      <c r="Q20" s="3"/>
    </row>
    <row r="21" customFormat="false" ht="20.25" hidden="false" customHeight="true" outlineLevel="0" collapsed="false">
      <c r="A21" s="8"/>
      <c r="B21" s="24" t="s">
        <v>34</v>
      </c>
      <c r="C21" s="37" t="n">
        <f aca="false">(Qgtot*0.000001*VDD_COM*fsw*1000)</f>
        <v>0.324</v>
      </c>
      <c r="D21" s="26" t="s">
        <v>35</v>
      </c>
      <c r="E21" s="27"/>
      <c r="F21" s="3"/>
      <c r="G21" s="5"/>
      <c r="H21" s="3"/>
      <c r="I21" s="3"/>
      <c r="J21" s="3"/>
      <c r="K21" s="3"/>
      <c r="L21" s="3"/>
      <c r="M21" s="3"/>
      <c r="N21" s="3"/>
      <c r="O21" s="3"/>
      <c r="P21" s="3"/>
      <c r="Q21" s="3"/>
    </row>
    <row r="22" customFormat="false" ht="20.25" hidden="false" customHeight="true" outlineLevel="0" collapsed="false">
      <c r="A22" s="8"/>
      <c r="B22" s="28" t="s">
        <v>129</v>
      </c>
      <c r="C22" s="51" t="n">
        <f aca="false">VDD_COM*I_VDD_COM/1000</f>
        <v>0.072</v>
      </c>
      <c r="D22" s="30" t="s">
        <v>35</v>
      </c>
      <c r="E22" s="31"/>
      <c r="F22" s="3"/>
      <c r="G22" s="5"/>
      <c r="H22" s="3"/>
      <c r="I22" s="3"/>
      <c r="J22" s="3"/>
      <c r="K22" s="3"/>
      <c r="L22" s="3"/>
      <c r="M22" s="3"/>
      <c r="N22" s="3"/>
      <c r="O22" s="3"/>
      <c r="P22" s="3"/>
      <c r="Q22" s="3"/>
    </row>
    <row r="23" customFormat="false" ht="24" hidden="false" customHeight="true" outlineLevel="0" collapsed="false">
      <c r="A23" s="8"/>
      <c r="B23" s="52" t="s">
        <v>83</v>
      </c>
      <c r="C23" s="53" t="n">
        <f aca="false">C21+C22</f>
        <v>0.396</v>
      </c>
      <c r="D23" s="54" t="s">
        <v>35</v>
      </c>
      <c r="E23" s="55" t="s">
        <v>84</v>
      </c>
      <c r="F23" s="3"/>
      <c r="G23" s="5"/>
      <c r="H23" s="3"/>
      <c r="I23" s="3"/>
      <c r="J23" s="3"/>
      <c r="K23" s="3"/>
      <c r="L23" s="3"/>
      <c r="M23" s="3"/>
      <c r="N23" s="3"/>
      <c r="O23" s="3"/>
      <c r="P23" s="3"/>
      <c r="Q23" s="3"/>
    </row>
    <row r="24" customFormat="false" ht="19.5" hidden="false" customHeight="true" outlineLevel="0" collapsed="false">
      <c r="A24" s="8"/>
      <c r="B24" s="58"/>
      <c r="C24" s="58"/>
      <c r="D24" s="58"/>
      <c r="E24" s="59"/>
      <c r="F24" s="3"/>
      <c r="G24" s="5"/>
      <c r="H24" s="3"/>
      <c r="I24" s="3"/>
      <c r="J24" s="3"/>
      <c r="K24" s="3"/>
      <c r="L24" s="3"/>
      <c r="M24" s="3"/>
      <c r="N24" s="3"/>
      <c r="O24" s="3"/>
      <c r="P24" s="3"/>
      <c r="Q24" s="3"/>
    </row>
    <row r="25" customFormat="false" ht="15" hidden="false" customHeight="false" outlineLevel="0" collapsed="false">
      <c r="A25" s="8"/>
      <c r="B25" s="60" t="s">
        <v>88</v>
      </c>
      <c r="C25" s="60"/>
      <c r="D25" s="60"/>
      <c r="E25" s="60"/>
      <c r="F25" s="3"/>
      <c r="G25" s="5"/>
      <c r="H25" s="3"/>
      <c r="I25" s="3"/>
      <c r="J25" s="3"/>
      <c r="K25" s="3"/>
      <c r="L25" s="3"/>
      <c r="M25" s="3"/>
      <c r="N25" s="3"/>
      <c r="O25" s="3"/>
      <c r="P25" s="3"/>
      <c r="Q25" s="3"/>
    </row>
    <row r="26" customFormat="false" ht="15" hidden="false" customHeight="false" outlineLevel="0" collapsed="false">
      <c r="A26" s="8"/>
      <c r="B26" s="60"/>
      <c r="C26" s="60"/>
      <c r="D26" s="60"/>
      <c r="E26" s="60"/>
      <c r="F26" s="3"/>
      <c r="K26" s="3"/>
      <c r="L26" s="3"/>
      <c r="M26" s="3"/>
      <c r="N26" s="3"/>
      <c r="O26" s="3"/>
      <c r="P26" s="3"/>
      <c r="Q26" s="3"/>
    </row>
    <row r="27" customFormat="false" ht="24.75" hidden="false" customHeight="true" outlineLevel="0" collapsed="false">
      <c r="A27" s="8"/>
      <c r="B27" s="61" t="s">
        <v>91</v>
      </c>
      <c r="C27" s="61"/>
      <c r="D27" s="61"/>
      <c r="E27" s="61"/>
      <c r="F27" s="3"/>
      <c r="K27" s="3"/>
      <c r="L27" s="3"/>
      <c r="M27" s="3"/>
      <c r="N27" s="3"/>
      <c r="O27" s="3"/>
      <c r="P27" s="3"/>
      <c r="Q27" s="3"/>
    </row>
    <row r="28" customFormat="false" ht="26.85" hidden="false" customHeight="false" outlineLevel="0" collapsed="false">
      <c r="A28" s="8"/>
      <c r="B28" s="62" t="s">
        <v>92</v>
      </c>
      <c r="C28" s="63" t="n">
        <f aca="false">R_2*(VDD_COM/2.5-1)</f>
        <v>62</v>
      </c>
      <c r="D28" s="54" t="s">
        <v>28</v>
      </c>
      <c r="E28" s="55" t="s">
        <v>93</v>
      </c>
      <c r="F28" s="3"/>
      <c r="G28" s="44" t="s">
        <v>50</v>
      </c>
      <c r="H28" s="44" t="s">
        <v>51</v>
      </c>
      <c r="I28" s="44" t="s">
        <v>52</v>
      </c>
      <c r="J28" s="3"/>
      <c r="K28" s="3"/>
      <c r="L28" s="3"/>
      <c r="M28" s="3"/>
      <c r="N28" s="3"/>
      <c r="O28" s="3"/>
      <c r="P28" s="3"/>
      <c r="Q28" s="3"/>
    </row>
    <row r="29" customFormat="false" ht="24" hidden="false" customHeight="true" outlineLevel="0" collapsed="false">
      <c r="A29" s="8"/>
      <c r="B29" s="61" t="s">
        <v>130</v>
      </c>
      <c r="C29" s="61"/>
      <c r="D29" s="61"/>
      <c r="E29" s="61"/>
      <c r="F29" s="3"/>
      <c r="G29" s="45" t="s">
        <v>55</v>
      </c>
      <c r="H29" s="46" t="s">
        <v>56</v>
      </c>
      <c r="I29" s="46" t="s">
        <v>57</v>
      </c>
      <c r="J29" s="3"/>
      <c r="K29" s="3"/>
      <c r="L29" s="3"/>
      <c r="M29" s="3"/>
      <c r="N29" s="3"/>
      <c r="O29" s="3"/>
      <c r="P29" s="3"/>
      <c r="Q29" s="3"/>
    </row>
    <row r="30" customFormat="false" ht="19.5" hidden="false" customHeight="true" outlineLevel="0" collapsed="false">
      <c r="A30" s="8"/>
      <c r="B30" s="35" t="s">
        <v>131</v>
      </c>
      <c r="C30" s="64" t="n">
        <f aca="false">Qgtot/((PERCENT_VPP_MAX/100)*VDD_COM)</f>
        <v>6.66666666666667</v>
      </c>
      <c r="D30" s="30" t="s">
        <v>57</v>
      </c>
      <c r="E30" s="65"/>
      <c r="F30" s="3"/>
      <c r="G30" s="45" t="s">
        <v>61</v>
      </c>
      <c r="H30" s="46" t="s">
        <v>56</v>
      </c>
      <c r="I30" s="46" t="s">
        <v>57</v>
      </c>
      <c r="J30" s="3"/>
      <c r="K30" s="3"/>
      <c r="L30" s="3"/>
      <c r="M30" s="3"/>
      <c r="N30" s="3"/>
      <c r="O30" s="3"/>
      <c r="P30" s="3"/>
      <c r="Q30" s="3"/>
    </row>
    <row r="31" customFormat="false" ht="17.35" hidden="false" customHeight="false" outlineLevel="0" collapsed="false">
      <c r="A31" s="8"/>
      <c r="B31" s="35" t="s">
        <v>132</v>
      </c>
      <c r="C31" s="66" t="n">
        <v>6.8</v>
      </c>
      <c r="D31" s="30" t="s">
        <v>57</v>
      </c>
      <c r="E31" s="67" t="s">
        <v>133</v>
      </c>
      <c r="F31" s="3"/>
      <c r="G31" s="45" t="s">
        <v>134</v>
      </c>
      <c r="H31" s="46" t="n">
        <f aca="false">C31</f>
        <v>6.8</v>
      </c>
      <c r="I31" s="46" t="s">
        <v>57</v>
      </c>
      <c r="J31" s="3"/>
      <c r="K31" s="3"/>
      <c r="L31" s="3"/>
      <c r="M31" s="3"/>
      <c r="N31" s="3"/>
      <c r="O31" s="3"/>
      <c r="P31" s="3"/>
      <c r="Q31" s="3"/>
    </row>
    <row r="32" customFormat="false" ht="23.25" hidden="false" customHeight="true" outlineLevel="0" collapsed="false">
      <c r="A32" s="8"/>
      <c r="B32" s="61" t="s">
        <v>105</v>
      </c>
      <c r="C32" s="61"/>
      <c r="D32" s="61"/>
      <c r="E32" s="61"/>
      <c r="F32" s="3"/>
      <c r="G32" s="45" t="s">
        <v>71</v>
      </c>
      <c r="H32" s="46" t="n">
        <f aca="false">C39</f>
        <v>220</v>
      </c>
      <c r="I32" s="46" t="s">
        <v>72</v>
      </c>
      <c r="J32" s="3"/>
      <c r="K32" s="3"/>
      <c r="L32" s="3"/>
      <c r="M32" s="3"/>
      <c r="N32" s="3"/>
      <c r="O32" s="3"/>
      <c r="P32" s="3"/>
      <c r="Q32" s="3"/>
    </row>
    <row r="33" customFormat="false" ht="26.85" hidden="false" customHeight="false" outlineLevel="0" collapsed="false">
      <c r="A33" s="8"/>
      <c r="B33" s="52" t="s">
        <v>106</v>
      </c>
      <c r="C33" s="94" t="n">
        <v>180</v>
      </c>
      <c r="D33" s="95" t="s">
        <v>28</v>
      </c>
      <c r="E33" s="96" t="s">
        <v>135</v>
      </c>
      <c r="F33" s="3"/>
      <c r="G33" s="48" t="s">
        <v>77</v>
      </c>
      <c r="H33" s="46" t="n">
        <v>0.1</v>
      </c>
      <c r="I33" s="46" t="s">
        <v>57</v>
      </c>
      <c r="J33" s="3"/>
      <c r="K33" s="3"/>
      <c r="L33" s="3"/>
      <c r="M33" s="3"/>
      <c r="N33" s="3"/>
      <c r="O33" s="3"/>
      <c r="P33" s="3"/>
      <c r="Q33" s="3"/>
    </row>
    <row r="34" customFormat="false" ht="19.5" hidden="false" customHeight="true" outlineLevel="0" collapsed="false">
      <c r="A34" s="3"/>
      <c r="B34" s="3"/>
      <c r="C34" s="3"/>
      <c r="D34" s="3"/>
      <c r="E34" s="3"/>
      <c r="F34" s="3"/>
      <c r="G34" s="45" t="s">
        <v>79</v>
      </c>
      <c r="H34" s="49" t="n">
        <v>1</v>
      </c>
      <c r="I34" s="46" t="s">
        <v>57</v>
      </c>
      <c r="J34" s="50" t="s">
        <v>80</v>
      </c>
      <c r="K34" s="3"/>
      <c r="L34" s="3"/>
      <c r="M34" s="3"/>
      <c r="N34" s="3"/>
      <c r="O34" s="3"/>
      <c r="P34" s="3"/>
      <c r="Q34" s="3"/>
    </row>
    <row r="35" customFormat="false" ht="17.35" hidden="false" customHeight="false" outlineLevel="0" collapsed="false">
      <c r="A35" s="8"/>
      <c r="B35" s="60" t="s">
        <v>113</v>
      </c>
      <c r="C35" s="60"/>
      <c r="D35" s="60"/>
      <c r="E35" s="60"/>
      <c r="F35" s="3"/>
      <c r="G35" s="45"/>
      <c r="H35" s="49" t="n">
        <v>0.1</v>
      </c>
      <c r="I35" s="46" t="s">
        <v>57</v>
      </c>
      <c r="J35" s="50" t="s">
        <v>82</v>
      </c>
      <c r="K35" s="3"/>
      <c r="L35" s="3"/>
      <c r="M35" s="3"/>
      <c r="N35" s="3"/>
      <c r="O35" s="3"/>
      <c r="P35" s="3"/>
      <c r="Q35" s="3"/>
    </row>
    <row r="36" customFormat="false" ht="17.35" hidden="false" customHeight="false" outlineLevel="0" collapsed="false">
      <c r="A36" s="8"/>
      <c r="B36" s="60"/>
      <c r="C36" s="60"/>
      <c r="D36" s="60"/>
      <c r="E36" s="60"/>
      <c r="F36" s="3"/>
      <c r="G36" s="56" t="s">
        <v>87</v>
      </c>
      <c r="H36" s="46" t="n">
        <f aca="false">C28</f>
        <v>62</v>
      </c>
      <c r="I36" s="46" t="s">
        <v>28</v>
      </c>
      <c r="J36" s="3"/>
      <c r="K36" s="3"/>
      <c r="L36" s="3"/>
      <c r="M36" s="3"/>
      <c r="N36" s="3"/>
      <c r="O36" s="3"/>
      <c r="P36" s="3"/>
      <c r="Q36" s="3"/>
    </row>
    <row r="37" customFormat="false" ht="20.25" hidden="false" customHeight="true" outlineLevel="0" collapsed="false">
      <c r="A37" s="8"/>
      <c r="B37" s="81" t="s">
        <v>114</v>
      </c>
      <c r="C37" s="82" t="s">
        <v>56</v>
      </c>
      <c r="D37" s="83" t="s">
        <v>57</v>
      </c>
      <c r="E37" s="97" t="s">
        <v>115</v>
      </c>
      <c r="F37" s="3"/>
      <c r="G37" s="45" t="s">
        <v>89</v>
      </c>
      <c r="H37" s="46" t="n">
        <f aca="false">R_2</f>
        <v>10</v>
      </c>
      <c r="I37" s="46" t="s">
        <v>28</v>
      </c>
      <c r="J37" s="3"/>
      <c r="K37" s="3"/>
      <c r="L37" s="3"/>
      <c r="M37" s="3"/>
      <c r="N37" s="3"/>
      <c r="O37" s="3"/>
      <c r="P37" s="3"/>
      <c r="Q37" s="3"/>
    </row>
    <row r="38" customFormat="false" ht="20.25" hidden="false" customHeight="true" outlineLevel="0" collapsed="false">
      <c r="A38" s="8"/>
      <c r="B38" s="81" t="s">
        <v>116</v>
      </c>
      <c r="C38" s="82" t="s">
        <v>56</v>
      </c>
      <c r="D38" s="85" t="s">
        <v>57</v>
      </c>
      <c r="E38" s="97"/>
      <c r="F38" s="3"/>
      <c r="G38" s="45" t="s">
        <v>90</v>
      </c>
      <c r="H38" s="98" t="n">
        <f aca="false">C33</f>
        <v>180</v>
      </c>
      <c r="I38" s="46" t="s">
        <v>28</v>
      </c>
      <c r="J38" s="3"/>
      <c r="K38" s="3"/>
      <c r="L38" s="3"/>
      <c r="M38" s="3"/>
      <c r="N38" s="3"/>
      <c r="O38" s="3"/>
      <c r="P38" s="3"/>
      <c r="Q38" s="3"/>
    </row>
    <row r="39" customFormat="false" ht="20.25" hidden="false" customHeight="true" outlineLevel="0" collapsed="false">
      <c r="A39" s="8"/>
      <c r="B39" s="52" t="s">
        <v>119</v>
      </c>
      <c r="C39" s="63" t="n">
        <v>220</v>
      </c>
      <c r="D39" s="54" t="s">
        <v>72</v>
      </c>
      <c r="E39" s="99" t="s">
        <v>120</v>
      </c>
      <c r="F39" s="3"/>
      <c r="G39" s="45" t="s">
        <v>94</v>
      </c>
      <c r="H39" s="46" t="n">
        <v>5.11</v>
      </c>
      <c r="I39" s="46" t="s">
        <v>28</v>
      </c>
      <c r="J39" s="3"/>
      <c r="K39" s="3"/>
      <c r="L39" s="3"/>
      <c r="M39" s="3"/>
      <c r="N39" s="3"/>
      <c r="O39" s="3"/>
      <c r="P39" s="3"/>
      <c r="Q39" s="3"/>
    </row>
    <row r="40" customFormat="false" ht="17.35" hidden="false" customHeight="true" outlineLevel="0" collapsed="false">
      <c r="A40" s="3"/>
      <c r="B40" s="3"/>
      <c r="C40" s="3"/>
      <c r="D40" s="3"/>
      <c r="E40" s="3"/>
      <c r="F40" s="3"/>
      <c r="G40" s="45" t="s">
        <v>96</v>
      </c>
      <c r="H40" s="46" t="n">
        <v>10</v>
      </c>
      <c r="I40" s="46" t="s">
        <v>28</v>
      </c>
      <c r="J40" s="50" t="s">
        <v>80</v>
      </c>
      <c r="K40" s="3"/>
      <c r="L40" s="3"/>
      <c r="M40" s="3"/>
      <c r="N40" s="3"/>
      <c r="O40" s="3"/>
      <c r="P40" s="3"/>
      <c r="Q40" s="3"/>
    </row>
    <row r="41" customFormat="false" ht="18.55" hidden="false" customHeight="false" outlineLevel="0" collapsed="false">
      <c r="A41" s="3"/>
      <c r="B41" s="93" t="s">
        <v>122</v>
      </c>
      <c r="C41" s="3"/>
      <c r="D41" s="3"/>
      <c r="E41" s="3"/>
      <c r="F41" s="3"/>
      <c r="G41" s="45"/>
      <c r="H41" s="46" t="n">
        <v>4.99</v>
      </c>
      <c r="I41" s="46" t="s">
        <v>28</v>
      </c>
      <c r="J41" s="50" t="s">
        <v>82</v>
      </c>
      <c r="K41" s="3"/>
      <c r="L41" s="3"/>
      <c r="M41" s="3"/>
      <c r="N41" s="3"/>
      <c r="O41" s="3"/>
      <c r="P41" s="3"/>
      <c r="Q41" s="3"/>
    </row>
    <row r="42" customFormat="false" ht="15" hidden="false" customHeight="false" outlineLevel="0" collapsed="false">
      <c r="A42" s="3"/>
      <c r="C42" s="3"/>
      <c r="D42" s="3"/>
      <c r="E42" s="3"/>
      <c r="F42" s="3"/>
      <c r="G42" s="5"/>
      <c r="H42" s="3"/>
      <c r="I42" s="3"/>
      <c r="J42" s="3"/>
      <c r="K42" s="3"/>
      <c r="L42" s="3"/>
      <c r="M42" s="3"/>
      <c r="N42" s="3"/>
      <c r="O42" s="3"/>
      <c r="P42" s="3"/>
      <c r="Q42" s="3"/>
    </row>
    <row r="43" customFormat="false" ht="15" hidden="false" customHeight="false" outlineLevel="0" collapsed="false">
      <c r="A43" s="3"/>
      <c r="B43" s="3"/>
      <c r="C43" s="3"/>
      <c r="D43" s="3"/>
      <c r="E43" s="3"/>
      <c r="F43" s="3"/>
      <c r="G43" s="5"/>
      <c r="H43" s="3"/>
      <c r="I43" s="3"/>
      <c r="J43" s="3"/>
      <c r="K43" s="3"/>
      <c r="L43" s="3"/>
      <c r="M43" s="3"/>
      <c r="N43" s="3"/>
      <c r="O43" s="3"/>
      <c r="P43" s="3"/>
      <c r="Q43" s="3"/>
    </row>
  </sheetData>
  <mergeCells count="16">
    <mergeCell ref="B1:E1"/>
    <mergeCell ref="B2:E2"/>
    <mergeCell ref="B3:E6"/>
    <mergeCell ref="B7:E7"/>
    <mergeCell ref="B8:E8"/>
    <mergeCell ref="B9:E9"/>
    <mergeCell ref="B10:E10"/>
    <mergeCell ref="B11:E12"/>
    <mergeCell ref="B25:E26"/>
    <mergeCell ref="B27:E27"/>
    <mergeCell ref="B29:E29"/>
    <mergeCell ref="B32:E32"/>
    <mergeCell ref="G34:G35"/>
    <mergeCell ref="B35:E36"/>
    <mergeCell ref="E37:E38"/>
    <mergeCell ref="G40:G41"/>
  </mergeCells>
  <conditionalFormatting sqref="E13">
    <cfRule type="expression" priority="2" aboveAverage="0" equalAverage="0" bottom="0" percent="0" rank="0" text="" dxfId="11">
      <formula>$C$13&lt;15</formula>
    </cfRule>
    <cfRule type="expression" priority="3" aboveAverage="0" equalAverage="0" bottom="0" percent="0" rank="0" text="" dxfId="12">
      <formula>$C$13&gt;20</formula>
    </cfRule>
  </conditionalFormatting>
  <conditionalFormatting sqref="C23">
    <cfRule type="expression" priority="4" aboveAverage="0" equalAverage="0" bottom="0" percent="0" rank="0" text="" dxfId="13">
      <formula>$C$23&gt;3</formula>
    </cfRule>
  </conditionalFormatting>
  <conditionalFormatting sqref="C13">
    <cfRule type="expression" priority="5" aboveAverage="0" equalAverage="0" bottom="0" percent="0" rank="0" text="" dxfId="14">
      <formula>$C$13&gt;25.5</formula>
    </cfRule>
  </conditionalFormatting>
  <conditionalFormatting sqref="E31">
    <cfRule type="expression" priority="6" aboveAverage="0" equalAverage="0" bottom="0" percent="0" rank="0" text="" dxfId="15">
      <formula>$C$31&lt;$C$30</formula>
    </cfRule>
  </conditionalFormatting>
  <conditionalFormatting sqref="D33:E33">
    <cfRule type="expression" priority="7" aboveAverage="0" equalAverage="0" bottom="0" percent="0" rank="0" text="" dxfId="16">
      <formula>#ref!&lt;2.5</formula>
    </cfRule>
    <cfRule type="expression" priority="8" aboveAverage="0" equalAverage="0" bottom="0" percent="0" rank="0" text="" dxfId="17">
      <formula>#ref!=2.5</formula>
    </cfRule>
  </conditionalFormatting>
  <conditionalFormatting sqref="B14:B17 D14:E17">
    <cfRule type="expression" priority="9" aboveAverage="0" equalAverage="0" bottom="0" percent="0" rank="0" text="" dxfId="18">
      <formula>$C$23&gt;#ref!</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5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C13" activeCellId="0" sqref="C13"/>
    </sheetView>
  </sheetViews>
  <sheetFormatPr defaultColWidth="9.00390625" defaultRowHeight="15" customHeight="false" zeroHeight="false" outlineLevelRow="0" outlineLevelCol="0"/>
  <cols>
    <col collapsed="false" customWidth="true" hidden="false" outlineLevel="0" max="1" min="1" style="1" width="5"/>
    <col collapsed="false" customWidth="true" hidden="false" outlineLevel="0" max="2" min="2" style="1" width="97.71"/>
    <col collapsed="false" customWidth="true" hidden="false" outlineLevel="0" max="3" min="3" style="1" width="49.29"/>
    <col collapsed="false" customWidth="true" hidden="false" outlineLevel="0" max="4" min="4" style="1" width="13.86"/>
    <col collapsed="false" customWidth="true" hidden="false" outlineLevel="0" max="5" min="5" style="1" width="76.86"/>
    <col collapsed="false" customWidth="true" hidden="false" outlineLevel="0" max="6" min="6" style="1" width="17.86"/>
    <col collapsed="false" customWidth="true" hidden="false" outlineLevel="0" max="7" min="7" style="2" width="23.71"/>
    <col collapsed="false" customWidth="true" hidden="false" outlineLevel="0" max="9" min="8" style="1" width="7.71"/>
    <col collapsed="false" customWidth="true" hidden="false" outlineLevel="0" max="10" min="10" style="1" width="32"/>
    <col collapsed="false" customWidth="true" hidden="false" outlineLevel="0" max="13" min="11" style="1" width="7.71"/>
    <col collapsed="false" customWidth="false" hidden="false" outlineLevel="0" max="16384" min="14" style="1" width="9"/>
  </cols>
  <sheetData>
    <row r="1" customFormat="false" ht="29.15" hidden="false" customHeight="true" outlineLevel="0" collapsed="false">
      <c r="B1" s="4" t="s">
        <v>136</v>
      </c>
      <c r="C1" s="4"/>
      <c r="D1" s="4"/>
      <c r="E1" s="4"/>
    </row>
    <row r="2" customFormat="false" ht="15" hidden="false" customHeight="false" outlineLevel="0" collapsed="false">
      <c r="A2" s="3"/>
      <c r="B2" s="6" t="s">
        <v>1</v>
      </c>
      <c r="C2" s="6"/>
      <c r="D2" s="6"/>
      <c r="E2" s="6"/>
      <c r="F2" s="3"/>
      <c r="G2" s="5"/>
      <c r="H2" s="3"/>
      <c r="I2" s="3"/>
      <c r="J2" s="3"/>
      <c r="K2" s="3"/>
      <c r="L2" s="3"/>
      <c r="M2" s="3"/>
      <c r="N2" s="3"/>
      <c r="O2" s="3"/>
      <c r="P2" s="3"/>
      <c r="Q2" s="3"/>
    </row>
    <row r="3" customFormat="false" ht="15" hidden="false" customHeight="true" outlineLevel="0" collapsed="false">
      <c r="A3" s="3"/>
      <c r="B3" s="7" t="s">
        <v>2</v>
      </c>
      <c r="C3" s="7"/>
      <c r="D3" s="7"/>
      <c r="E3" s="7"/>
      <c r="F3" s="3"/>
      <c r="G3" s="5"/>
      <c r="H3" s="3"/>
      <c r="I3" s="3"/>
      <c r="J3" s="3"/>
      <c r="K3" s="3"/>
      <c r="L3" s="3"/>
      <c r="M3" s="3"/>
      <c r="N3" s="3"/>
      <c r="O3" s="3"/>
      <c r="P3" s="3"/>
      <c r="Q3" s="3"/>
    </row>
    <row r="4" customFormat="false" ht="15" hidden="false" customHeight="false" outlineLevel="0" collapsed="false">
      <c r="A4" s="8"/>
      <c r="B4" s="7"/>
      <c r="C4" s="7"/>
      <c r="D4" s="7"/>
      <c r="E4" s="7"/>
      <c r="F4" s="3"/>
      <c r="G4" s="5"/>
      <c r="H4" s="3"/>
      <c r="I4" s="3"/>
      <c r="J4" s="3"/>
      <c r="K4" s="3"/>
      <c r="L4" s="3"/>
      <c r="M4" s="3"/>
      <c r="N4" s="3"/>
      <c r="O4" s="3"/>
      <c r="P4" s="3"/>
      <c r="Q4" s="3"/>
    </row>
    <row r="5" customFormat="false" ht="15" hidden="false" customHeight="false" outlineLevel="0" collapsed="false">
      <c r="A5" s="8"/>
      <c r="B5" s="7"/>
      <c r="C5" s="7"/>
      <c r="D5" s="7"/>
      <c r="E5" s="7"/>
      <c r="F5" s="9"/>
      <c r="G5" s="5"/>
      <c r="H5" s="3"/>
      <c r="I5" s="3"/>
      <c r="J5" s="3"/>
      <c r="K5" s="3"/>
      <c r="L5" s="3"/>
      <c r="M5" s="3"/>
      <c r="N5" s="3"/>
      <c r="O5" s="3"/>
      <c r="P5" s="3"/>
      <c r="Q5" s="3"/>
    </row>
    <row r="6" customFormat="false" ht="15" hidden="false" customHeight="false" outlineLevel="0" collapsed="false">
      <c r="A6" s="8"/>
      <c r="B6" s="7"/>
      <c r="C6" s="7"/>
      <c r="D6" s="7"/>
      <c r="E6" s="7"/>
      <c r="F6" s="9"/>
      <c r="G6" s="5"/>
      <c r="H6" s="3"/>
      <c r="I6" s="3"/>
      <c r="J6" s="3"/>
      <c r="K6" s="3"/>
      <c r="L6" s="3"/>
      <c r="M6" s="3"/>
      <c r="N6" s="3"/>
      <c r="O6" s="3"/>
      <c r="P6" s="3"/>
      <c r="Q6" s="3"/>
    </row>
    <row r="7" customFormat="false" ht="24.75" hidden="false" customHeight="true" outlineLevel="0" collapsed="false">
      <c r="A7" s="8"/>
      <c r="B7" s="10" t="s">
        <v>124</v>
      </c>
      <c r="C7" s="10"/>
      <c r="D7" s="10"/>
      <c r="E7" s="10"/>
      <c r="F7" s="9"/>
      <c r="G7" s="5"/>
      <c r="H7" s="3"/>
      <c r="I7" s="3"/>
      <c r="J7" s="3"/>
      <c r="K7" s="3"/>
      <c r="L7" s="3"/>
      <c r="M7" s="3"/>
      <c r="N7" s="3"/>
      <c r="O7" s="3"/>
      <c r="P7" s="3"/>
      <c r="Q7" s="3"/>
    </row>
    <row r="8" customFormat="false" ht="17.35" hidden="false" customHeight="false" outlineLevel="0" collapsed="false">
      <c r="A8" s="8"/>
      <c r="B8" s="11" t="s">
        <v>4</v>
      </c>
      <c r="C8" s="11"/>
      <c r="D8" s="11"/>
      <c r="E8" s="11"/>
      <c r="F8" s="9"/>
      <c r="G8" s="5"/>
      <c r="H8" s="3"/>
      <c r="I8" s="3"/>
      <c r="J8" s="3"/>
      <c r="K8" s="3"/>
      <c r="M8" s="3"/>
      <c r="N8" s="3"/>
      <c r="O8" s="3"/>
      <c r="P8" s="3"/>
      <c r="Q8" s="3"/>
    </row>
    <row r="9" customFormat="false" ht="17.15" hidden="false" customHeight="false" outlineLevel="0" collapsed="false">
      <c r="A9" s="8"/>
      <c r="B9" s="12" t="s">
        <v>7</v>
      </c>
      <c r="C9" s="12"/>
      <c r="D9" s="12"/>
      <c r="E9" s="12"/>
      <c r="F9" s="9"/>
      <c r="G9" s="5"/>
      <c r="H9" s="3"/>
      <c r="I9" s="3"/>
      <c r="J9" s="3"/>
      <c r="K9" s="3"/>
      <c r="L9" s="3"/>
      <c r="M9" s="3"/>
      <c r="N9" s="3"/>
      <c r="O9" s="3"/>
      <c r="P9" s="3"/>
      <c r="Q9" s="3"/>
    </row>
    <row r="10" customFormat="false" ht="33" hidden="false" customHeight="true" outlineLevel="0" collapsed="false">
      <c r="A10" s="8"/>
      <c r="B10" s="14" t="s">
        <v>9</v>
      </c>
      <c r="C10" s="14"/>
      <c r="D10" s="14"/>
      <c r="E10" s="14"/>
      <c r="F10" s="3"/>
      <c r="G10" s="5"/>
      <c r="H10" s="3"/>
      <c r="J10" s="3"/>
      <c r="K10" s="3"/>
      <c r="L10" s="3"/>
      <c r="M10" s="3"/>
      <c r="N10" s="3"/>
      <c r="O10" s="3"/>
      <c r="P10" s="3"/>
      <c r="Q10" s="3"/>
    </row>
    <row r="11" customFormat="false" ht="15" hidden="false" customHeight="false" outlineLevel="0" collapsed="false">
      <c r="A11" s="8"/>
      <c r="B11" s="16" t="s">
        <v>11</v>
      </c>
      <c r="C11" s="16"/>
      <c r="D11" s="16"/>
      <c r="E11" s="16"/>
      <c r="F11" s="3"/>
      <c r="G11" s="5"/>
      <c r="H11" s="3"/>
      <c r="I11" s="3"/>
      <c r="J11" s="3"/>
      <c r="K11" s="3"/>
      <c r="L11" s="3"/>
      <c r="M11" s="3"/>
      <c r="N11" s="3"/>
      <c r="O11" s="3"/>
      <c r="P11" s="3"/>
      <c r="Q11" s="3"/>
    </row>
    <row r="12" customFormat="false" ht="15" hidden="false" customHeight="false" outlineLevel="0" collapsed="false">
      <c r="A12" s="8"/>
      <c r="B12" s="16"/>
      <c r="C12" s="16"/>
      <c r="D12" s="16"/>
      <c r="E12" s="16"/>
      <c r="F12" s="3"/>
      <c r="G12" s="5"/>
      <c r="H12" s="3"/>
      <c r="I12" s="3"/>
      <c r="J12" s="3"/>
      <c r="K12" s="3"/>
      <c r="L12" s="3"/>
      <c r="M12" s="3"/>
      <c r="N12" s="3"/>
      <c r="O12" s="3"/>
      <c r="P12" s="3"/>
      <c r="Q12" s="3"/>
    </row>
    <row r="13" customFormat="false" ht="20.25" hidden="false" customHeight="true" outlineLevel="0" collapsed="false">
      <c r="A13" s="8"/>
      <c r="B13" s="100" t="s">
        <v>137</v>
      </c>
      <c r="C13" s="18" t="n">
        <v>17</v>
      </c>
      <c r="D13" s="19" t="s">
        <v>14</v>
      </c>
      <c r="E13" s="101"/>
      <c r="F13" s="3"/>
      <c r="G13" s="5"/>
      <c r="H13" s="3"/>
      <c r="I13" s="3"/>
      <c r="J13" s="3"/>
      <c r="K13" s="3"/>
      <c r="L13" s="3"/>
      <c r="M13" s="3"/>
      <c r="N13" s="3"/>
      <c r="O13" s="3"/>
      <c r="P13" s="3"/>
      <c r="Q13" s="3"/>
    </row>
    <row r="14" customFormat="false" ht="20.25" hidden="false" customHeight="true" outlineLevel="0" collapsed="false">
      <c r="A14" s="8"/>
      <c r="B14" s="102" t="s">
        <v>138</v>
      </c>
      <c r="C14" s="103" t="n">
        <f aca="false">C13*90%</f>
        <v>15.3</v>
      </c>
      <c r="D14" s="104" t="s">
        <v>14</v>
      </c>
      <c r="E14" s="105"/>
      <c r="F14" s="3"/>
      <c r="G14" s="5"/>
      <c r="H14" s="3"/>
      <c r="I14" s="3"/>
      <c r="J14" s="3"/>
      <c r="K14" s="3"/>
      <c r="L14" s="3"/>
      <c r="M14" s="3"/>
      <c r="N14" s="3"/>
      <c r="O14" s="3"/>
      <c r="P14" s="3"/>
      <c r="Q14" s="3"/>
    </row>
    <row r="15" customFormat="false" ht="20.25" hidden="false" customHeight="true" outlineLevel="0" collapsed="false">
      <c r="A15" s="8"/>
      <c r="B15" s="102" t="s">
        <v>139</v>
      </c>
      <c r="C15" s="103" t="n">
        <f aca="false">C13*(1+20%)</f>
        <v>20.4</v>
      </c>
      <c r="D15" s="104" t="s">
        <v>14</v>
      </c>
      <c r="E15" s="105"/>
      <c r="F15" s="3"/>
      <c r="G15" s="5"/>
      <c r="H15" s="3"/>
      <c r="I15" s="3"/>
      <c r="J15" s="3"/>
      <c r="K15" s="3"/>
      <c r="L15" s="3"/>
      <c r="M15" s="3"/>
      <c r="N15" s="3"/>
      <c r="O15" s="3"/>
      <c r="P15" s="3"/>
      <c r="Q15" s="3"/>
    </row>
    <row r="16" customFormat="false" ht="20.25" hidden="false" customHeight="true" outlineLevel="0" collapsed="false">
      <c r="A16" s="8"/>
      <c r="B16" s="102" t="s">
        <v>140</v>
      </c>
      <c r="C16" s="103" t="n">
        <v>20</v>
      </c>
      <c r="D16" s="106" t="s">
        <v>141</v>
      </c>
      <c r="E16" s="105"/>
      <c r="F16" s="3"/>
      <c r="G16" s="5"/>
      <c r="H16" s="3"/>
      <c r="I16" s="3"/>
      <c r="J16" s="3"/>
      <c r="K16" s="3"/>
      <c r="L16" s="3"/>
      <c r="M16" s="3"/>
      <c r="N16" s="3"/>
      <c r="O16" s="3"/>
      <c r="P16" s="3"/>
      <c r="Q16" s="3"/>
    </row>
    <row r="17" customFormat="false" ht="20.25" hidden="false" customHeight="true" outlineLevel="0" collapsed="false">
      <c r="A17" s="8"/>
      <c r="B17" s="102" t="s">
        <v>142</v>
      </c>
      <c r="C17" s="103" t="n">
        <v>1</v>
      </c>
      <c r="D17" s="106" t="s">
        <v>143</v>
      </c>
      <c r="E17" s="105"/>
      <c r="F17" s="3"/>
      <c r="G17" s="5"/>
      <c r="H17" s="3"/>
      <c r="I17" s="3"/>
      <c r="J17" s="3"/>
      <c r="K17" s="3"/>
      <c r="L17" s="3"/>
      <c r="M17" s="3"/>
      <c r="N17" s="3"/>
      <c r="O17" s="3"/>
      <c r="P17" s="3"/>
      <c r="Q17" s="3"/>
    </row>
    <row r="18" customFormat="false" ht="20.25" hidden="false" customHeight="true" outlineLevel="0" collapsed="false">
      <c r="A18" s="8"/>
      <c r="B18" s="107" t="s">
        <v>144</v>
      </c>
      <c r="C18" s="108" t="n">
        <v>2.5</v>
      </c>
      <c r="D18" s="109" t="s">
        <v>143</v>
      </c>
      <c r="E18" s="110"/>
      <c r="F18" s="3"/>
      <c r="G18" s="5"/>
      <c r="H18" s="3"/>
      <c r="I18" s="3"/>
      <c r="J18" s="3"/>
      <c r="K18" s="3"/>
      <c r="L18" s="3"/>
      <c r="M18" s="3"/>
      <c r="N18" s="3"/>
      <c r="O18" s="3"/>
      <c r="P18" s="3"/>
      <c r="Q18" s="3"/>
    </row>
    <row r="19" customFormat="false" ht="19.5" hidden="false" customHeight="true" outlineLevel="0" collapsed="false">
      <c r="A19" s="8"/>
      <c r="B19" s="58"/>
      <c r="C19" s="58"/>
      <c r="D19" s="58"/>
      <c r="E19" s="59"/>
      <c r="F19" s="3"/>
      <c r="G19" s="5"/>
      <c r="H19" s="3"/>
      <c r="I19" s="3"/>
      <c r="J19" s="3"/>
      <c r="K19" s="3"/>
      <c r="L19" s="3"/>
      <c r="M19" s="3"/>
      <c r="N19" s="3"/>
      <c r="O19" s="3"/>
      <c r="P19" s="3"/>
      <c r="Q19" s="3"/>
    </row>
    <row r="20" customFormat="false" ht="15" hidden="false" customHeight="false" outlineLevel="0" collapsed="false">
      <c r="A20" s="8"/>
      <c r="B20" s="60" t="s">
        <v>145</v>
      </c>
      <c r="C20" s="60"/>
      <c r="D20" s="60"/>
      <c r="E20" s="60"/>
      <c r="F20" s="3"/>
      <c r="G20" s="5"/>
      <c r="H20" s="3"/>
      <c r="I20" s="3"/>
      <c r="J20" s="3"/>
      <c r="K20" s="3"/>
      <c r="L20" s="3"/>
      <c r="M20" s="3"/>
      <c r="N20" s="3"/>
      <c r="O20" s="3"/>
      <c r="P20" s="3"/>
      <c r="Q20" s="3"/>
    </row>
    <row r="21" customFormat="false" ht="15" hidden="false" customHeight="false" outlineLevel="0" collapsed="false">
      <c r="A21" s="8"/>
      <c r="B21" s="60"/>
      <c r="C21" s="60"/>
      <c r="D21" s="60"/>
      <c r="E21" s="60"/>
      <c r="F21" s="3"/>
      <c r="G21" s="5"/>
      <c r="H21" s="3"/>
      <c r="I21" s="3"/>
      <c r="J21" s="3"/>
      <c r="K21" s="3"/>
      <c r="L21" s="3"/>
      <c r="M21" s="3"/>
      <c r="N21" s="3"/>
      <c r="O21" s="3"/>
      <c r="P21" s="3"/>
      <c r="Q21" s="3"/>
    </row>
    <row r="22" customFormat="false" ht="24" hidden="false" customHeight="true" outlineLevel="0" collapsed="false">
      <c r="A22" s="8"/>
      <c r="B22" s="61" t="s">
        <v>146</v>
      </c>
      <c r="C22" s="61"/>
      <c r="D22" s="61"/>
      <c r="E22" s="61"/>
      <c r="F22" s="3"/>
      <c r="G22" s="5"/>
      <c r="H22" s="3"/>
      <c r="I22" s="3"/>
      <c r="J22" s="3"/>
      <c r="K22" s="3"/>
      <c r="L22" s="3"/>
      <c r="M22" s="3"/>
      <c r="N22" s="3"/>
      <c r="O22" s="3"/>
      <c r="P22" s="3"/>
      <c r="Q22" s="3"/>
    </row>
    <row r="23" customFormat="false" ht="15" hidden="false" customHeight="false" outlineLevel="0" collapsed="false">
      <c r="A23" s="8"/>
      <c r="B23" s="111" t="s">
        <v>147</v>
      </c>
      <c r="C23" s="112" t="n">
        <v>1.425</v>
      </c>
      <c r="D23" s="30" t="s">
        <v>14</v>
      </c>
      <c r="E23" s="76"/>
      <c r="F23" s="3"/>
      <c r="G23" s="5"/>
      <c r="H23" s="3"/>
      <c r="I23" s="3"/>
      <c r="J23" s="3"/>
      <c r="K23" s="3"/>
      <c r="L23" s="3"/>
      <c r="M23" s="3"/>
      <c r="N23" s="3"/>
      <c r="O23" s="3"/>
      <c r="P23" s="3"/>
      <c r="Q23" s="3"/>
    </row>
    <row r="24" customFormat="false" ht="15" hidden="false" customHeight="false" outlineLevel="0" collapsed="false">
      <c r="A24" s="8"/>
      <c r="B24" s="111" t="s">
        <v>148</v>
      </c>
      <c r="C24" s="112" t="n">
        <v>1.5</v>
      </c>
      <c r="D24" s="30" t="s">
        <v>14</v>
      </c>
      <c r="E24" s="76"/>
      <c r="F24" s="3"/>
      <c r="G24" s="5"/>
      <c r="H24" s="3"/>
      <c r="I24" s="3"/>
      <c r="J24" s="3"/>
      <c r="K24" s="3"/>
      <c r="L24" s="3"/>
      <c r="M24" s="3"/>
      <c r="N24" s="3"/>
      <c r="O24" s="3"/>
      <c r="P24" s="3"/>
      <c r="Q24" s="3"/>
    </row>
    <row r="25" customFormat="false" ht="19.5" hidden="false" customHeight="true" outlineLevel="0" collapsed="false">
      <c r="A25" s="8"/>
      <c r="B25" s="111" t="s">
        <v>149</v>
      </c>
      <c r="C25" s="112" t="n">
        <v>1.575</v>
      </c>
      <c r="D25" s="69" t="s">
        <v>14</v>
      </c>
      <c r="E25" s="76"/>
      <c r="F25" s="3"/>
      <c r="G25" s="5"/>
      <c r="H25" s="3"/>
      <c r="I25" s="3"/>
      <c r="J25" s="3"/>
      <c r="K25" s="3"/>
      <c r="L25" s="3"/>
      <c r="M25" s="3"/>
      <c r="N25" s="3"/>
      <c r="O25" s="3"/>
      <c r="P25" s="3"/>
      <c r="Q25" s="3"/>
    </row>
    <row r="26" customFormat="false" ht="20.25" hidden="false" customHeight="true" outlineLevel="0" collapsed="false">
      <c r="A26" s="8"/>
      <c r="B26" s="61" t="s">
        <v>150</v>
      </c>
      <c r="C26" s="61"/>
      <c r="D26" s="61"/>
      <c r="E26" s="61"/>
      <c r="F26" s="3"/>
      <c r="G26" s="5"/>
      <c r="H26" s="3"/>
      <c r="I26" s="3"/>
      <c r="J26" s="3"/>
      <c r="K26" s="3"/>
      <c r="L26" s="3"/>
      <c r="M26" s="3"/>
      <c r="N26" s="3"/>
      <c r="O26" s="3"/>
      <c r="P26" s="3"/>
      <c r="Q26" s="3"/>
    </row>
    <row r="27" customFormat="false" ht="15" hidden="false" customHeight="false" outlineLevel="0" collapsed="false">
      <c r="A27" s="8"/>
      <c r="B27" s="24" t="s">
        <v>147</v>
      </c>
      <c r="C27" s="112" t="n">
        <v>1.282</v>
      </c>
      <c r="D27" s="69" t="s">
        <v>14</v>
      </c>
      <c r="E27" s="76"/>
      <c r="F27" s="3"/>
      <c r="G27" s="5"/>
      <c r="H27" s="3"/>
      <c r="I27" s="3"/>
      <c r="J27" s="3"/>
      <c r="K27" s="3"/>
      <c r="L27" s="3"/>
      <c r="M27" s="3"/>
      <c r="N27" s="3"/>
      <c r="O27" s="3"/>
      <c r="P27" s="3"/>
      <c r="Q27" s="3"/>
    </row>
    <row r="28" customFormat="false" ht="15" hidden="false" customHeight="false" outlineLevel="0" collapsed="false">
      <c r="A28" s="8"/>
      <c r="B28" s="113" t="s">
        <v>148</v>
      </c>
      <c r="C28" s="112" t="n">
        <v>1.35</v>
      </c>
      <c r="D28" s="114" t="s">
        <v>14</v>
      </c>
      <c r="E28" s="76"/>
      <c r="F28" s="3"/>
      <c r="G28" s="5"/>
      <c r="H28" s="3"/>
      <c r="I28" s="3"/>
      <c r="J28" s="3"/>
      <c r="K28" s="3"/>
      <c r="L28" s="3"/>
      <c r="M28" s="3"/>
      <c r="N28" s="3"/>
      <c r="O28" s="3"/>
      <c r="P28" s="3"/>
      <c r="Q28" s="3"/>
    </row>
    <row r="29" customFormat="false" ht="15" hidden="false" customHeight="false" outlineLevel="0" collapsed="false">
      <c r="A29" s="8"/>
      <c r="B29" s="115" t="s">
        <v>149</v>
      </c>
      <c r="C29" s="116" t="n">
        <v>1.418</v>
      </c>
      <c r="D29" s="117" t="s">
        <v>14</v>
      </c>
      <c r="E29" s="96"/>
      <c r="F29" s="3"/>
      <c r="G29" s="5"/>
      <c r="H29" s="3"/>
      <c r="I29" s="3"/>
      <c r="J29" s="3"/>
      <c r="K29" s="3"/>
      <c r="L29" s="3"/>
      <c r="M29" s="3"/>
      <c r="N29" s="3"/>
      <c r="O29" s="3"/>
      <c r="P29" s="3"/>
      <c r="Q29" s="3"/>
    </row>
    <row r="30" customFormat="false" ht="19.5" hidden="false" customHeight="true" outlineLevel="0" collapsed="false">
      <c r="A30" s="3"/>
      <c r="B30" s="3"/>
      <c r="C30" s="3"/>
      <c r="D30" s="3"/>
      <c r="E30" s="3"/>
      <c r="F30" s="3"/>
      <c r="G30" s="5"/>
      <c r="H30" s="3"/>
      <c r="I30" s="3"/>
      <c r="J30" s="3"/>
      <c r="K30" s="3"/>
      <c r="L30" s="3"/>
      <c r="M30" s="3"/>
      <c r="N30" s="3"/>
      <c r="O30" s="3"/>
      <c r="P30" s="3"/>
      <c r="Q30" s="3"/>
    </row>
    <row r="31" customFormat="false" ht="15" hidden="false" customHeight="false" outlineLevel="0" collapsed="false">
      <c r="A31" s="8"/>
      <c r="B31" s="60" t="s">
        <v>151</v>
      </c>
      <c r="C31" s="60"/>
      <c r="D31" s="60"/>
      <c r="E31" s="60"/>
      <c r="F31" s="3"/>
      <c r="G31" s="5"/>
      <c r="H31" s="3"/>
      <c r="I31" s="3"/>
      <c r="J31" s="3"/>
      <c r="K31" s="3"/>
      <c r="L31" s="3"/>
      <c r="M31" s="3"/>
      <c r="N31" s="3"/>
      <c r="O31" s="3"/>
      <c r="P31" s="3"/>
      <c r="Q31" s="3"/>
    </row>
    <row r="32" customFormat="false" ht="15" hidden="false" customHeight="false" outlineLevel="0" collapsed="false">
      <c r="A32" s="8"/>
      <c r="B32" s="60"/>
      <c r="C32" s="60"/>
      <c r="D32" s="60"/>
      <c r="E32" s="60"/>
      <c r="F32" s="3"/>
      <c r="G32" s="5"/>
      <c r="H32" s="3"/>
      <c r="I32" s="3"/>
      <c r="J32" s="3"/>
      <c r="K32" s="3"/>
      <c r="L32" s="3"/>
      <c r="M32" s="3"/>
      <c r="N32" s="3"/>
      <c r="O32" s="3"/>
      <c r="P32" s="3"/>
      <c r="Q32" s="3"/>
    </row>
    <row r="33" customFormat="false" ht="20.25" hidden="false" customHeight="true" outlineLevel="0" collapsed="false">
      <c r="A33" s="8"/>
      <c r="B33" s="81" t="s">
        <v>152</v>
      </c>
      <c r="C33" s="118" t="n">
        <f aca="false">C13/(C16*10^-6)/1000-C35</f>
        <v>761.625</v>
      </c>
      <c r="D33" s="30" t="s">
        <v>28</v>
      </c>
      <c r="E33" s="105"/>
      <c r="F33" s="3"/>
      <c r="G33" s="5"/>
      <c r="H33" s="3"/>
      <c r="I33" s="3"/>
      <c r="J33" s="3"/>
      <c r="K33" s="3"/>
      <c r="L33" s="3"/>
      <c r="M33" s="3"/>
      <c r="N33" s="3"/>
      <c r="O33" s="3"/>
      <c r="P33" s="3"/>
      <c r="Q33" s="3"/>
    </row>
    <row r="34" customFormat="false" ht="20.25" hidden="false" customHeight="true" outlineLevel="0" collapsed="false">
      <c r="A34" s="8"/>
      <c r="B34" s="81" t="s">
        <v>153</v>
      </c>
      <c r="C34" s="119" t="n">
        <v>820</v>
      </c>
      <c r="D34" s="30" t="s">
        <v>28</v>
      </c>
      <c r="E34" s="105" t="s">
        <v>154</v>
      </c>
      <c r="F34" s="3"/>
      <c r="G34" s="5"/>
      <c r="H34" s="3"/>
      <c r="I34" s="3"/>
      <c r="J34" s="3"/>
      <c r="K34" s="3"/>
      <c r="L34" s="3"/>
      <c r="M34" s="3"/>
      <c r="N34" s="3"/>
      <c r="O34" s="3"/>
      <c r="P34" s="3"/>
      <c r="Q34" s="3"/>
    </row>
    <row r="35" customFormat="false" ht="20.25" hidden="false" customHeight="true" outlineLevel="0" collapsed="false">
      <c r="A35" s="8"/>
      <c r="B35" s="81" t="s">
        <v>155</v>
      </c>
      <c r="C35" s="118" t="n">
        <f aca="false">C25*1.01/C14*(C13/(C16*10^-6))/1000</f>
        <v>88.375</v>
      </c>
      <c r="D35" s="30" t="s">
        <v>28</v>
      </c>
      <c r="E35" s="105"/>
      <c r="F35" s="3"/>
      <c r="G35" s="5"/>
      <c r="H35" s="3"/>
      <c r="I35" s="3"/>
      <c r="J35" s="3"/>
      <c r="K35" s="3"/>
      <c r="L35" s="3"/>
      <c r="M35" s="3"/>
      <c r="N35" s="3"/>
      <c r="O35" s="3"/>
      <c r="P35" s="3"/>
      <c r="Q35" s="3"/>
    </row>
    <row r="36" customFormat="false" ht="20.25" hidden="false" customHeight="true" outlineLevel="0" collapsed="false">
      <c r="A36" s="8"/>
      <c r="B36" s="81" t="s">
        <v>156</v>
      </c>
      <c r="C36" s="120" t="n">
        <v>100</v>
      </c>
      <c r="D36" s="30" t="s">
        <v>28</v>
      </c>
      <c r="E36" s="105" t="s">
        <v>154</v>
      </c>
      <c r="F36" s="3"/>
      <c r="G36" s="5"/>
      <c r="H36" s="3"/>
      <c r="I36" s="3"/>
      <c r="J36" s="3"/>
      <c r="K36" s="3"/>
      <c r="L36" s="3"/>
      <c r="M36" s="3"/>
      <c r="N36" s="3"/>
      <c r="O36" s="3"/>
      <c r="P36" s="3"/>
      <c r="Q36" s="3"/>
    </row>
    <row r="37" customFormat="false" ht="15" hidden="false" customHeight="false" outlineLevel="0" collapsed="false">
      <c r="A37" s="8"/>
      <c r="B37" s="24" t="s">
        <v>157</v>
      </c>
      <c r="C37" s="74" t="n">
        <f aca="false">(C17*10^-3)/((C35*C33/(C33+C35))*1000)*10^9</f>
        <v>12.6283993666301</v>
      </c>
      <c r="D37" s="26" t="s">
        <v>158</v>
      </c>
      <c r="E37" s="105" t="s">
        <v>159</v>
      </c>
      <c r="F37" s="3"/>
      <c r="G37" s="5"/>
      <c r="H37" s="3"/>
      <c r="I37" s="3"/>
      <c r="J37" s="3"/>
      <c r="K37" s="3"/>
      <c r="L37" s="3"/>
      <c r="M37" s="3"/>
      <c r="N37" s="3"/>
      <c r="O37" s="3"/>
      <c r="P37" s="3"/>
      <c r="Q37" s="3"/>
    </row>
    <row r="38" customFormat="false" ht="20.25" hidden="false" customHeight="true" outlineLevel="0" collapsed="false">
      <c r="A38" s="8"/>
      <c r="B38" s="81" t="s">
        <v>160</v>
      </c>
      <c r="C38" s="118" t="n">
        <f aca="false">C33</f>
        <v>761.625</v>
      </c>
      <c r="D38" s="121" t="s">
        <v>28</v>
      </c>
      <c r="E38" s="122"/>
      <c r="F38" s="3"/>
      <c r="G38" s="5"/>
      <c r="H38" s="3"/>
      <c r="I38" s="3"/>
      <c r="J38" s="3"/>
      <c r="K38" s="3"/>
      <c r="L38" s="3"/>
      <c r="M38" s="3"/>
      <c r="N38" s="3"/>
      <c r="O38" s="3"/>
      <c r="P38" s="3"/>
      <c r="Q38" s="3"/>
    </row>
    <row r="39" customFormat="false" ht="20.25" hidden="false" customHeight="true" outlineLevel="0" collapsed="false">
      <c r="A39" s="8"/>
      <c r="B39" s="81" t="s">
        <v>161</v>
      </c>
      <c r="C39" s="119" t="n">
        <v>820</v>
      </c>
      <c r="D39" s="30" t="s">
        <v>28</v>
      </c>
      <c r="E39" s="105" t="s">
        <v>154</v>
      </c>
      <c r="F39" s="3"/>
      <c r="G39" s="5"/>
      <c r="H39" s="3"/>
      <c r="I39" s="3"/>
      <c r="J39" s="3"/>
      <c r="K39" s="3"/>
      <c r="L39" s="3"/>
      <c r="M39" s="3"/>
      <c r="N39" s="3"/>
      <c r="O39" s="3"/>
      <c r="P39" s="3"/>
      <c r="Q39" s="3"/>
    </row>
    <row r="40" customFormat="false" ht="15" hidden="false" customHeight="false" outlineLevel="0" collapsed="false">
      <c r="A40" s="8"/>
      <c r="B40" s="52" t="s">
        <v>162</v>
      </c>
      <c r="C40" s="123" t="n">
        <f aca="false">C18/C39*1000</f>
        <v>3.04878048780488</v>
      </c>
      <c r="D40" s="54" t="s">
        <v>158</v>
      </c>
      <c r="E40" s="124" t="s">
        <v>159</v>
      </c>
      <c r="F40" s="3"/>
      <c r="G40" s="5"/>
      <c r="H40" s="3"/>
      <c r="I40" s="3"/>
      <c r="J40" s="3"/>
      <c r="K40" s="3"/>
      <c r="L40" s="3"/>
      <c r="M40" s="3"/>
      <c r="N40" s="3"/>
      <c r="O40" s="3"/>
      <c r="P40" s="3"/>
      <c r="Q40" s="3"/>
    </row>
    <row r="41" customFormat="false" ht="15" hidden="false" customHeight="false" outlineLevel="0" collapsed="false">
      <c r="A41" s="3"/>
      <c r="B41" s="3"/>
      <c r="C41" s="3"/>
      <c r="D41" s="3"/>
      <c r="E41" s="3"/>
      <c r="F41" s="3"/>
      <c r="G41" s="5"/>
      <c r="H41" s="3"/>
      <c r="I41" s="3"/>
      <c r="J41" s="3"/>
      <c r="K41" s="3"/>
      <c r="L41" s="3"/>
      <c r="M41" s="3"/>
      <c r="N41" s="3"/>
      <c r="O41" s="3"/>
      <c r="P41" s="3"/>
      <c r="Q41" s="3"/>
    </row>
    <row r="42" customFormat="false" ht="15" hidden="false" customHeight="false" outlineLevel="0" collapsed="false">
      <c r="A42" s="8"/>
      <c r="B42" s="16" t="s">
        <v>163</v>
      </c>
      <c r="C42" s="16"/>
      <c r="D42" s="16"/>
      <c r="E42" s="16"/>
      <c r="F42" s="3"/>
      <c r="G42" s="5"/>
      <c r="H42" s="3"/>
      <c r="I42" s="3"/>
      <c r="J42" s="3"/>
      <c r="K42" s="3"/>
      <c r="L42" s="3"/>
      <c r="M42" s="3"/>
      <c r="N42" s="3"/>
      <c r="O42" s="3"/>
      <c r="P42" s="3"/>
      <c r="Q42" s="3"/>
    </row>
    <row r="43" customFormat="false" ht="15" hidden="false" customHeight="false" outlineLevel="0" collapsed="false">
      <c r="A43" s="8"/>
      <c r="B43" s="16"/>
      <c r="C43" s="16"/>
      <c r="D43" s="16"/>
      <c r="E43" s="16"/>
      <c r="F43" s="3"/>
      <c r="G43" s="5"/>
      <c r="H43" s="3"/>
      <c r="I43" s="3"/>
      <c r="J43" s="3"/>
      <c r="K43" s="3"/>
      <c r="L43" s="3"/>
      <c r="M43" s="3"/>
      <c r="N43" s="3"/>
      <c r="O43" s="3"/>
      <c r="P43" s="3"/>
      <c r="Q43" s="3"/>
    </row>
    <row r="44" customFormat="false" ht="26.85" hidden="false" customHeight="false" outlineLevel="0" collapsed="false">
      <c r="A44" s="8"/>
      <c r="B44" s="24" t="s">
        <v>164</v>
      </c>
      <c r="C44" s="125" t="n">
        <f aca="false">C14*C36/(C34+C36)</f>
        <v>1.66304347826087</v>
      </c>
      <c r="D44" s="69" t="s">
        <v>14</v>
      </c>
      <c r="E44" s="76" t="s">
        <v>165</v>
      </c>
      <c r="F44" s="3"/>
      <c r="G44" s="5"/>
      <c r="H44" s="3"/>
      <c r="I44" s="3"/>
      <c r="J44" s="3"/>
      <c r="K44" s="3"/>
      <c r="L44" s="3"/>
      <c r="M44" s="3"/>
      <c r="N44" s="3"/>
      <c r="O44" s="3"/>
      <c r="P44" s="3"/>
      <c r="Q44" s="3"/>
    </row>
    <row r="45" customFormat="false" ht="27.75" hidden="false" customHeight="true" outlineLevel="0" collapsed="false">
      <c r="A45" s="8"/>
      <c r="B45" s="24" t="s">
        <v>166</v>
      </c>
      <c r="C45" s="126" t="n">
        <f aca="false">C13*C36/(C34+C36)</f>
        <v>1.84782608695652</v>
      </c>
      <c r="D45" s="114" t="s">
        <v>14</v>
      </c>
      <c r="E45" s="127"/>
      <c r="F45" s="3"/>
      <c r="G45" s="5"/>
      <c r="H45" s="3"/>
      <c r="I45" s="3"/>
      <c r="J45" s="3"/>
      <c r="K45" s="3"/>
      <c r="L45" s="3"/>
      <c r="M45" s="3"/>
      <c r="N45" s="3"/>
      <c r="O45" s="3"/>
      <c r="P45" s="3"/>
      <c r="Q45" s="3"/>
    </row>
    <row r="46" customFormat="false" ht="23.85" hidden="false" customHeight="false" outlineLevel="0" collapsed="false">
      <c r="A46" s="8"/>
      <c r="B46" s="52" t="s">
        <v>167</v>
      </c>
      <c r="C46" s="128" t="n">
        <f aca="false">C15*C36/(C34+C36)</f>
        <v>2.21739130434783</v>
      </c>
      <c r="D46" s="117" t="s">
        <v>14</v>
      </c>
      <c r="E46" s="129" t="s">
        <v>168</v>
      </c>
      <c r="F46" s="3"/>
      <c r="G46" s="5"/>
      <c r="H46" s="3"/>
      <c r="I46" s="3"/>
      <c r="J46" s="3"/>
      <c r="K46" s="3"/>
      <c r="L46" s="3"/>
      <c r="M46" s="3"/>
      <c r="N46" s="3"/>
      <c r="O46" s="3"/>
      <c r="P46" s="3"/>
      <c r="Q46" s="3"/>
    </row>
    <row r="47" customFormat="false" ht="19.5" hidden="false" customHeight="true" outlineLevel="0" collapsed="false">
      <c r="A47" s="3"/>
      <c r="B47" s="3"/>
      <c r="C47" s="3"/>
      <c r="D47" s="3"/>
      <c r="E47" s="3"/>
      <c r="F47" s="3"/>
      <c r="G47" s="5"/>
      <c r="H47" s="3"/>
      <c r="I47" s="3"/>
      <c r="J47" s="3"/>
      <c r="K47" s="3"/>
      <c r="L47" s="3"/>
      <c r="M47" s="3"/>
      <c r="N47" s="3"/>
      <c r="O47" s="3"/>
      <c r="P47" s="3"/>
      <c r="Q47" s="3"/>
    </row>
    <row r="48" customFormat="false" ht="18.55" hidden="false" customHeight="false" outlineLevel="0" collapsed="false">
      <c r="B48" s="93" t="s">
        <v>122</v>
      </c>
    </row>
    <row r="49" customFormat="false" ht="15" hidden="false" customHeight="false" outlineLevel="0" collapsed="false">
      <c r="C49" s="130"/>
    </row>
    <row r="50" customFormat="false" ht="15" hidden="false" customHeight="false" outlineLevel="0" collapsed="false">
      <c r="C50" s="131"/>
    </row>
    <row r="51" customFormat="false" ht="15" hidden="false" customHeight="false" outlineLevel="0" collapsed="false">
      <c r="C51" s="130"/>
    </row>
    <row r="52" customFormat="false" ht="15" hidden="false" customHeight="false" outlineLevel="0" collapsed="false">
      <c r="C52" s="130"/>
    </row>
  </sheetData>
  <mergeCells count="13">
    <mergeCell ref="B1:E1"/>
    <mergeCell ref="B2:E2"/>
    <mergeCell ref="B3:E6"/>
    <mergeCell ref="B7:E7"/>
    <mergeCell ref="B8:E8"/>
    <mergeCell ref="B9:E9"/>
    <mergeCell ref="B10:E10"/>
    <mergeCell ref="B11:E12"/>
    <mergeCell ref="B20:E21"/>
    <mergeCell ref="B22:E22"/>
    <mergeCell ref="B26:E26"/>
    <mergeCell ref="B31:E32"/>
    <mergeCell ref="B42:E43"/>
  </mergeCells>
  <conditionalFormatting sqref="E46">
    <cfRule type="expression" priority="2" aboveAverage="0" equalAverage="0" bottom="0" percent="0" rank="0" text="" dxfId="19">
      <formula>$C$46&gt;=5.5</formula>
    </cfRule>
  </conditionalFormatting>
  <conditionalFormatting sqref="E44">
    <cfRule type="expression" priority="3" aboveAverage="0" equalAverage="0" bottom="0" percent="0" rank="0" text="" dxfId="20">
      <formula>$C$44&lt;=$C$25</formula>
    </cfRule>
  </conditionalFormatting>
  <conditionalFormatting sqref="D45:E45 D46 E23:E25 E27 D28:E29">
    <cfRule type="expression" priority="4" aboveAverage="0" equalAverage="0" bottom="0" percent="0" rank="0" text="" dxfId="21">
      <formula>#ref!&lt;2.5</formula>
    </cfRule>
    <cfRule type="expression" priority="5" aboveAverage="0" equalAverage="0" bottom="0" percent="0" rank="0" text="" dxfId="22">
      <formula>#ref!=2.5</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C59A266E8297D45ACCE7A9F04191B68" ma:contentTypeVersion="2" ma:contentTypeDescription="Create a new document." ma:contentTypeScope="" ma:versionID="dcfcfc72969bf822a3f23aeeb0ab229e">
  <xsd:schema xmlns:xsd="http://www.w3.org/2001/XMLSchema" xmlns:xs="http://www.w3.org/2001/XMLSchema" xmlns:p="http://schemas.microsoft.com/office/2006/metadata/properties" targetNamespace="http://schemas.microsoft.com/office/2006/metadata/properties" ma:root="true" ma:fieldsID="4e6b3f111a8d1c7c6bdf527247549941">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B9041B0-5393-42F2-BF80-E2C297178B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2CAB7335-583D-4882-A716-7A22D6BC7781}">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5B1CE4F8-7539-47AE-9669-AE32EB65884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1</TotalTime>
  <Application>LibreOffice/25.8.6.2$Windows_X86_64 LibreOffice_project/b4b39682cd9868fa725bc664aff94278d315bd04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
  <dc:description/>
  <dc:language>pt-BR</dc:language>
  <cp:lastModifiedBy/>
  <dcterms:modified xsi:type="dcterms:W3CDTF">2026-06-28T13:37:36Z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0x0101008C59A266E8297D45ACCE7A9F04191B68</vt:lpwstr>
  </property>
</Properties>
</file>